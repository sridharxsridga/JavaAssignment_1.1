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Git\hr-sap-addresses\BRD\"/>
    </mc:Choice>
  </mc:AlternateContent>
  <bookViews>
    <workbookView xWindow="5085" yWindow="15" windowWidth="9690" windowHeight="7290" tabRatio="936" firstSheet="4" activeTab="4"/>
  </bookViews>
  <sheets>
    <sheet name="Version Control" sheetId="14" r:id="rId1"/>
    <sheet name="Approvals" sheetId="16" r:id="rId2"/>
    <sheet name="Overview" sheetId="59" r:id="rId3"/>
    <sheet name="Table Vol &amp; Delta Logic Summary" sheetId="63" r:id="rId4"/>
    <sheet name="HR_SAP_EPI_USE_PA0006" sheetId="77" r:id="rId5"/>
    <sheet name="PCI_PII_EXAMPLE" sheetId="93" r:id="rId6"/>
  </sheets>
  <definedNames>
    <definedName name="_xlnm._FilterDatabase" localSheetId="4" hidden="1">HR_SAP_EPI_USE_PA0006!$A$69:$AY$95</definedName>
    <definedName name="Else">PCI_PII_EXAMPLE!#REF!,PCI_PII_EXAMPLE!#REF!,PCI_PII_EXAMPLE!#REF!,PCI_PII_EXAMPLE!#REF!</definedName>
    <definedName name="HCONF">PCI_PII_EXAMPLE!$A$2:$A$18</definedName>
    <definedName name="HighlyConfidential">PCI_PII_EXAMPLE!$A$2:$A$18</definedName>
    <definedName name="No">PCI_PII_EXAMPLE!#REF!</definedName>
    <definedName name="PIIDATA">PCI_PII_EXAMPLE!$C$2:$C$3</definedName>
    <definedName name="PIITYPE">PCI_PII_EXAMPLE!#REF!</definedName>
    <definedName name="Yes">PCI_PII_EXAMPLE!#REF!</definedName>
  </definedNames>
  <calcPr calcId="152511"/>
  <customWorkbookViews>
    <customWorkbookView name="Licensed User - Personal View" guid="{BA870330-D874-11D2-B9FD-00805FE314B1}" mergeInterval="0" personalView="1" maximized="1" windowWidth="763" windowHeight="438" activeSheetId="8"/>
    <customWorkbookView name="Joseph Sueiras - Personal View" guid="{41EC7D80-D877-11D2-BA03-00805F938D24}" mergeInterval="0" personalView="1" maximized="1" windowWidth="1020" windowHeight="606" activeSheetId="8"/>
  </customWorkbookViews>
</workbook>
</file>

<file path=xl/calcChain.xml><?xml version="1.0" encoding="utf-8"?>
<calcChain xmlns="http://schemas.openxmlformats.org/spreadsheetml/2006/main">
  <c r="C89" i="77" l="1"/>
  <c r="B89" i="77"/>
  <c r="C88" i="77"/>
  <c r="B88" i="77"/>
  <c r="C87" i="77"/>
  <c r="B87" i="77"/>
  <c r="C86" i="77"/>
  <c r="B86" i="77"/>
  <c r="C85" i="77"/>
  <c r="B85" i="77"/>
  <c r="C84" i="77"/>
  <c r="B84" i="77"/>
  <c r="C83" i="77"/>
  <c r="B83" i="77"/>
  <c r="B90" i="77" l="1"/>
  <c r="C90" i="77"/>
  <c r="B91" i="77"/>
  <c r="C91" i="77"/>
  <c r="B92" i="77"/>
  <c r="C92" i="77"/>
  <c r="B93" i="77"/>
  <c r="C93" i="77"/>
  <c r="B94" i="77"/>
  <c r="C94" i="77"/>
  <c r="B95" i="77"/>
  <c r="C95" i="77"/>
  <c r="C82" i="77" l="1"/>
  <c r="B82" i="77"/>
  <c r="C81" i="77"/>
  <c r="B81" i="77"/>
  <c r="C80" i="77"/>
  <c r="B80" i="77"/>
  <c r="C79" i="77"/>
  <c r="B79" i="77"/>
  <c r="C78" i="77"/>
  <c r="B78" i="77"/>
  <c r="C77" i="77"/>
  <c r="B77" i="77"/>
  <c r="C76" i="77"/>
  <c r="B76" i="77"/>
  <c r="C75" i="77"/>
  <c r="B75" i="77"/>
  <c r="C74" i="77"/>
  <c r="B74" i="77"/>
  <c r="C73" i="77"/>
  <c r="B73" i="77"/>
  <c r="C72" i="77"/>
  <c r="B72" i="77"/>
  <c r="C71" i="77"/>
  <c r="B71" i="77"/>
  <c r="C70" i="77"/>
  <c r="B70" i="77"/>
  <c r="D25" i="77"/>
  <c r="D24" i="77"/>
  <c r="D23" i="77"/>
  <c r="D22" i="77"/>
  <c r="D21" i="77"/>
  <c r="D20" i="77"/>
</calcChain>
</file>

<file path=xl/sharedStrings.xml><?xml version="1.0" encoding="utf-8"?>
<sst xmlns="http://schemas.openxmlformats.org/spreadsheetml/2006/main" count="717" uniqueCount="388">
  <si>
    <t>Data Steward:</t>
  </si>
  <si>
    <t xml:space="preserve">Target Table History : </t>
  </si>
  <si>
    <t>Mnemonic</t>
  </si>
  <si>
    <t>Staging Table Name:</t>
  </si>
  <si>
    <t>Relevant Index Information:</t>
  </si>
  <si>
    <t>Updated in this version</t>
  </si>
  <si>
    <t>Target Table</t>
  </si>
  <si>
    <t>Target Field</t>
  </si>
  <si>
    <t>Transformation Logic</t>
  </si>
  <si>
    <t>Default Value</t>
  </si>
  <si>
    <t>Source Database</t>
  </si>
  <si>
    <t>Source Table</t>
  </si>
  <si>
    <t>Source Field</t>
  </si>
  <si>
    <t>Business Name</t>
  </si>
  <si>
    <t>Metadata</t>
  </si>
  <si>
    <t>Date</t>
  </si>
  <si>
    <t>Version</t>
  </si>
  <si>
    <t>Update</t>
  </si>
  <si>
    <t>Created by</t>
  </si>
  <si>
    <t>Draft</t>
  </si>
  <si>
    <t>Primary Key</t>
  </si>
  <si>
    <t>N</t>
  </si>
  <si>
    <t>Y</t>
  </si>
  <si>
    <t>Name</t>
  </si>
  <si>
    <t>Role</t>
  </si>
  <si>
    <t>Approve/Review</t>
  </si>
  <si>
    <t>Sign-Off</t>
  </si>
  <si>
    <t>Process Overview</t>
  </si>
  <si>
    <t>N/A</t>
  </si>
  <si>
    <t xml:space="preserve">Table </t>
  </si>
  <si>
    <t>Approx prod volume</t>
  </si>
  <si>
    <t>Nightly Run</t>
  </si>
  <si>
    <t>History Run</t>
  </si>
  <si>
    <t xml:space="preserve">RecoveryKey &gt; last extracted max(RecoveryKey) </t>
  </si>
  <si>
    <t>RecoveryKey &gt; -1</t>
  </si>
  <si>
    <t>LCM_t_Dialer_Detail</t>
  </si>
  <si>
    <t>Delta(New/Change) identification logic</t>
  </si>
  <si>
    <t>8,000 (approx) per day, based on figures this week</t>
  </si>
  <si>
    <t>LCM_CONTACTOUTCOME</t>
  </si>
  <si>
    <t>No more required and Not in scope for Abinitio</t>
  </si>
  <si>
    <t xml:space="preserve">Records back to </t>
  </si>
  <si>
    <t>Target 
Schema or 
Database</t>
  </si>
  <si>
    <t>Target Data Type</t>
  </si>
  <si>
    <t>Example Target Field</t>
  </si>
  <si>
    <t>NULLABLE</t>
  </si>
  <si>
    <t>Partitioned Column</t>
  </si>
  <si>
    <t>Compulsory/Optional</t>
  </si>
  <si>
    <t>Source Field Short Description</t>
  </si>
  <si>
    <t>Business Definition</t>
  </si>
  <si>
    <t>Source Data Type</t>
  </si>
  <si>
    <t>Example Source Fields</t>
  </si>
  <si>
    <t>Comment</t>
  </si>
  <si>
    <t xml:space="preserve">Target Table  </t>
  </si>
  <si>
    <t>Target Production Schema/Database</t>
  </si>
  <si>
    <t>Target View Schema/Database</t>
  </si>
  <si>
    <t>Target Schema  Directory HDFS/GPFS</t>
  </si>
  <si>
    <t>Table level Metadata:</t>
  </si>
  <si>
    <t xml:space="preserve">Target Data stored as </t>
  </si>
  <si>
    <t xml:space="preserve">Internal or External Hive/BigSQL Table </t>
  </si>
  <si>
    <t>Steward:</t>
  </si>
  <si>
    <t xml:space="preserve">Business Owner </t>
  </si>
  <si>
    <t>Data Delivery Requirements. What is the frequency of the extracts ? Delta / Incremental Extract  OR Full refresh  Daily? Mechanism to identify change in the data ?</t>
  </si>
  <si>
    <t>Source Filename</t>
  </si>
  <si>
    <t xml:space="preserve">Target Filename </t>
  </si>
  <si>
    <t>File Type</t>
  </si>
  <si>
    <t>File Delimeter</t>
  </si>
  <si>
    <t>File Headers</t>
  </si>
  <si>
    <t>File Trailer</t>
  </si>
  <si>
    <t xml:space="preserve">Text Qualifier Characters </t>
  </si>
  <si>
    <t xml:space="preserve">Source System(s) data will be extracted from </t>
  </si>
  <si>
    <t>Which IT Team or Business Unit will be providing  the source feeds to the Warehouse/Hadoop?</t>
  </si>
  <si>
    <t xml:space="preserve">What is the job name for the source feeds to Hadoop </t>
  </si>
  <si>
    <t>Do we need Information security approvals for new connections specially outside AIB or application/systems on cloud?</t>
  </si>
  <si>
    <t>Do we have any direct connectivity  available to Pull the data from Source system ; If not , Is the Source system going to send the data by any other means ( files / Message )?</t>
  </si>
  <si>
    <t>What is the type of Data Integration Required ? ( Real Time Or Batch )</t>
  </si>
  <si>
    <t>Does the source system stores history of data? Do We have any history data requirement for Back filling ?</t>
  </si>
  <si>
    <t>Is there any known DQ challenges? Any requirement of cleaning, formatting and standardization of data ? Quality of source data specially free text fields with potential invalid/non-printable characters?</t>
  </si>
  <si>
    <t>Impact of data extraction on source system, SLA for Data extraction?  Define a window when to extract  Or Extract Time – End of business day, time?</t>
  </si>
  <si>
    <t>Impact on Business, if Data Delivery is unable to acquire data (e.g. during upgrade) within SLA or if source system is unavailable?</t>
  </si>
  <si>
    <t>Is there Any data requirement  from different source systems for mapping purposes?</t>
  </si>
  <si>
    <t>Is there any Mechanism to identify the validity period for the extracted data feed. This will be used to establish if a feed is due and to identify extracts valid for multiple latency period.</t>
  </si>
  <si>
    <t>In the event of a system failures, can a feed be recreated by the source system if necessary (e.g. resend previous end of day feed)</t>
  </si>
  <si>
    <t>In case of Files as source : What's the layout  (header, data , trailer )? What is the file delimiter used ? What will be the record end character ? What will be the file end character ?what will be the date formats?</t>
  </si>
  <si>
    <t>What data validation and verification is needed</t>
  </si>
  <si>
    <t>Can TWS / OPCA be used to schedule the feeds to the Warehouse/Hadoop?</t>
  </si>
  <si>
    <t>Define the Schedule of loading  - Calendar, Daily, Weekly, Monthly, etc.</t>
  </si>
  <si>
    <t>Mapping Doc</t>
  </si>
  <si>
    <t>Target Position</t>
  </si>
  <si>
    <t>Target Data Type Format</t>
  </si>
  <si>
    <t>Source Field Position</t>
  </si>
  <si>
    <t>Source Data Type Format</t>
  </si>
  <si>
    <t>Data Business Analyst</t>
  </si>
  <si>
    <t>What is the encoding standard of incoming file e.g. utf-8, ascii etc.</t>
  </si>
  <si>
    <t>Define the Schedule of loading  - Calendar, HOURLY INTRADAY DAILY WEEKLY MONTHLY QUARTERLY YEARLY ADJUSTMENT</t>
  </si>
  <si>
    <t>DAILY</t>
  </si>
  <si>
    <t>HDFS/GPFS  Directory Name</t>
  </si>
  <si>
    <t>HDFS/GPFS Hadoop Landing Path Directory (IN)</t>
  </si>
  <si>
    <t>HDFS/GPFS Hadoop In Progress Path Directory (IN-PROGRESS)</t>
  </si>
  <si>
    <t>HDFS/GPFS Hadoop Archive Directory (ARCHIVE)</t>
  </si>
  <si>
    <t>HDFS/GPFS Hadoop Reject Directory (REJECT)</t>
  </si>
  <si>
    <t>HDFS/GPFS Hadoop Failure Directory (FAILURE)</t>
  </si>
  <si>
    <t>HDFS/GPFS Hadoop Filtered Directory (FILTERED)</t>
  </si>
  <si>
    <t>*** ATTENTION ***</t>
  </si>
  <si>
    <t>PERIOD_DTE</t>
  </si>
  <si>
    <t>DATE STORED AS DATE</t>
  </si>
  <si>
    <t>YYYY-MM-DD</t>
  </si>
  <si>
    <t>SMALLINT</t>
  </si>
  <si>
    <t>LOAD_LAST_ACTION</t>
  </si>
  <si>
    <t>CHAR(1)</t>
  </si>
  <si>
    <t xml:space="preserve">  REQUIRED FIELD</t>
  </si>
  <si>
    <t>Date format</t>
  </si>
  <si>
    <t>PA0006</t>
  </si>
  <si>
    <t>3 years , daily</t>
  </si>
  <si>
    <t>PA0014</t>
  </si>
  <si>
    <t>PA0015</t>
  </si>
  <si>
    <t>PA0033</t>
  </si>
  <si>
    <t>All , daily</t>
  </si>
  <si>
    <t>PA0071</t>
  </si>
  <si>
    <t>PA0361</t>
  </si>
  <si>
    <t>PA2006</t>
  </si>
  <si>
    <t>PA2010</t>
  </si>
  <si>
    <t>PA9920</t>
  </si>
  <si>
    <t>HDCA</t>
  </si>
  <si>
    <t>1 Month,Monthly</t>
  </si>
  <si>
    <t>This purpose of this document is to show the process of receiving HR SAP data from EPI-USE reports</t>
  </si>
  <si>
    <t>HR_SAP_ADDRESSES</t>
  </si>
  <si>
    <t>HDCWD00P</t>
  </si>
  <si>
    <t>/apps/hive/warehouse/hdcwd00p.db/hr_sap_addresses</t>
  </si>
  <si>
    <t>Addresses Infotype - this table stores address information plus telephone numbers. Different address types are recorded as different subtypes e.g. Work,Mailing,emergency address. From SAP HR EPI USE REPORT PA0006</t>
  </si>
  <si>
    <t>PARQUET</t>
  </si>
  <si>
    <t>External</t>
  </si>
  <si>
    <t>DMG to populate</t>
  </si>
  <si>
    <t>Siobhán O' Dwyer (HR Reporting &amp; Analytics)</t>
  </si>
  <si>
    <t>John Riordan (HR Reporting &amp; Analytics)</t>
  </si>
  <si>
    <t>Nightly</t>
  </si>
  <si>
    <t>HR_SAP_EPIUSE_PA0006_&lt;EXTRACT_DATE&gt;.txt</t>
  </si>
  <si>
    <t>.txt</t>
  </si>
  <si>
    <t>Yes</t>
  </si>
  <si>
    <t>No</t>
  </si>
  <si>
    <t>""</t>
  </si>
  <si>
    <t>SAP HR EPI USE REPORT (HD06 - HADOOP:PA0006)</t>
  </si>
  <si>
    <t>Data Transmission</t>
  </si>
  <si>
    <t>Batch</t>
  </si>
  <si>
    <t>PERSONNEL_NUMBER</t>
  </si>
  <si>
    <t>SUBTYP</t>
  </si>
  <si>
    <t>VARCHAR(4)</t>
  </si>
  <si>
    <t>OBJ_ID</t>
  </si>
  <si>
    <t>VARCHAR(2)</t>
  </si>
  <si>
    <t>END_DATE</t>
  </si>
  <si>
    <t>START_DATE</t>
  </si>
  <si>
    <t>INFOTYPE_RECORD_NUMBER</t>
  </si>
  <si>
    <t>VARCHAR(3)</t>
  </si>
  <si>
    <t>CHANGED_ON</t>
  </si>
  <si>
    <t>CHANGED_BY</t>
  </si>
  <si>
    <t>ADDRESS_TYPE</t>
  </si>
  <si>
    <t>ADDRESS_TYPE_DESCRIPTION</t>
  </si>
  <si>
    <t>VARCHAR(40)</t>
  </si>
  <si>
    <t>CARE_OF</t>
  </si>
  <si>
    <t>ADDRESS_LINE_1</t>
  </si>
  <si>
    <t>VARCHAR(60)</t>
  </si>
  <si>
    <t>ADDRESS_LINE_2</t>
  </si>
  <si>
    <t>VARCHAR(20)</t>
  </si>
  <si>
    <t>VARCHAR(10)</t>
  </si>
  <si>
    <t>00012345</t>
  </si>
  <si>
    <t>0001</t>
  </si>
  <si>
    <t>Usually blank</t>
  </si>
  <si>
    <t>'2016-01-01'</t>
  </si>
  <si>
    <t>Permanent Residence Address</t>
  </si>
  <si>
    <t>c/o AIB Bank</t>
  </si>
  <si>
    <t>Bankcentre</t>
  </si>
  <si>
    <t>Anglesea Road</t>
  </si>
  <si>
    <t xml:space="preserve">Converted Char to Varchar </t>
  </si>
  <si>
    <t>Standard Field</t>
  </si>
  <si>
    <t xml:space="preserve">Set to = </t>
  </si>
  <si>
    <t>Set to = 9</t>
  </si>
  <si>
    <t>This number is a unique identifier for each staff member. Stored in 8 digit format on SAP with leadings zeroes, usually no more than 5 digits.</t>
  </si>
  <si>
    <t>Subtype-equates to address type</t>
  </si>
  <si>
    <t>The object identification (object ID) is used to make a distinction between data records with the same infotype, subtype, lock indicator, start date, and end date.</t>
  </si>
  <si>
    <t>This is the last date on which the record is valid</t>
  </si>
  <si>
    <t>This is the date on which the record becomes valid</t>
  </si>
  <si>
    <t>The sequential number is used to differentiate between records that have the same key and 3 as the time constraint (any number of records at a certain point in time). Unlike the personnel object identification, this number is assigned automatically.</t>
  </si>
  <si>
    <t>This is the date the record was last changed on</t>
  </si>
  <si>
    <t>Specifies the type of address e.g. home/work</t>
  </si>
  <si>
    <t>The text associated with the above address type</t>
  </si>
  <si>
    <t>Care Of</t>
  </si>
  <si>
    <t>Address Line 1</t>
  </si>
  <si>
    <t>Address Line 2</t>
  </si>
  <si>
    <t>The reporting period for the data in the table. For periodic/monthly tables this is the last working day of the month. For daily tables it is the previous working day.</t>
  </si>
  <si>
    <t>Used for source acctg system for acc and source appl system for appl. Acctg Source Codes: Branch Acctg = 1359, Loan Acctg = 6, Bankmaster = 7, Credit Card = 3.  Appl Source Codes: NAPS = 23, QTS = 26, HMS = 25, CCNAPS = 3</t>
  </si>
  <si>
    <t>Used to identify the source institution (or division)  ROI=1, FTB=2, GB=3, Poland=4 (no longer used), Capital Markete=5, Enterprise=6  and EBS=9</t>
  </si>
  <si>
    <t>Auto populated System Field of Batch load date</t>
  </si>
  <si>
    <t>SAP HR EPI USE REPORT PA0006</t>
  </si>
  <si>
    <t>PERNR</t>
  </si>
  <si>
    <t>/EPIUSE/PA0006</t>
  </si>
  <si>
    <t>SUBTY</t>
  </si>
  <si>
    <t>OBJPS</t>
  </si>
  <si>
    <t>ENDDA</t>
  </si>
  <si>
    <t>BEGDA</t>
  </si>
  <si>
    <t>SEQNR</t>
  </si>
  <si>
    <t>AEDTM</t>
  </si>
  <si>
    <t>UNAME</t>
  </si>
  <si>
    <t>ANSSA</t>
  </si>
  <si>
    <t>NAME2</t>
  </si>
  <si>
    <t>STRAS</t>
  </si>
  <si>
    <t>LOCAT</t>
  </si>
  <si>
    <t>Personnel_Number</t>
  </si>
  <si>
    <t>Subtype</t>
  </si>
  <si>
    <t>Object_ID</t>
  </si>
  <si>
    <t>End_Date</t>
  </si>
  <si>
    <t>Start_Date</t>
  </si>
  <si>
    <t>Infotype_Record_No</t>
  </si>
  <si>
    <t>Changed_on</t>
  </si>
  <si>
    <t>Changed_by</t>
  </si>
  <si>
    <t>Address_Type_Val</t>
  </si>
  <si>
    <t>Address_Type_Text</t>
  </si>
  <si>
    <t>Care_Of</t>
  </si>
  <si>
    <t>Street_and_House_No</t>
  </si>
  <si>
    <t>2nd_Address_Line</t>
  </si>
  <si>
    <t>Personnel Number</t>
  </si>
  <si>
    <t>Object ID</t>
  </si>
  <si>
    <t>End Date</t>
  </si>
  <si>
    <t>Start Date</t>
  </si>
  <si>
    <t>Infotype Record Number</t>
  </si>
  <si>
    <t>Changed on</t>
  </si>
  <si>
    <t>Changed by</t>
  </si>
  <si>
    <t>Address Type</t>
  </si>
  <si>
    <t>Address Type Description</t>
  </si>
  <si>
    <t>NUMC(8)</t>
  </si>
  <si>
    <t>CHAR(4)</t>
  </si>
  <si>
    <t>CHAR(2)</t>
  </si>
  <si>
    <t>DATS(8)</t>
  </si>
  <si>
    <t>CHAR(3)</t>
  </si>
  <si>
    <t>CHAR(12)</t>
  </si>
  <si>
    <t>CHAR(40)</t>
  </si>
  <si>
    <t>CHAR(60)</t>
  </si>
  <si>
    <t>CHAR(20)</t>
  </si>
  <si>
    <t>CHAR(10)</t>
  </si>
  <si>
    <t>yyyyMMdd</t>
  </si>
  <si>
    <t>yyyy-MM-dd</t>
  </si>
  <si>
    <t>|</t>
  </si>
  <si>
    <t>/data/HR_SAP_ADDRESSES</t>
  </si>
  <si>
    <t>TIMESTAMP_AS_VARCHAR(30)</t>
  </si>
  <si>
    <t>YYYY-MM-DD HH:MM:SS.fffffffff</t>
  </si>
  <si>
    <t>PCI Data</t>
  </si>
  <si>
    <t>PII Data</t>
  </si>
  <si>
    <t>PII Type</t>
  </si>
  <si>
    <t>PII TYPE: HIGHLY CONFIDENTIAL</t>
  </si>
  <si>
    <t>O</t>
  </si>
  <si>
    <t>SRCE_SYS</t>
  </si>
  <si>
    <t> </t>
  </si>
  <si>
    <t>C</t>
  </si>
  <si>
    <t>SRCE_INST</t>
  </si>
  <si>
    <t>Warehouse generated field identifying the system action of the accounting record. D = Deleted/Closed; I = Inserted; U = Update</t>
  </si>
  <si>
    <t>LOAD_DTE</t>
  </si>
  <si>
    <t>LOAD_TIME</t>
  </si>
  <si>
    <t>Remove Non Printable Characters</t>
  </si>
  <si>
    <t>Compare Header to Metadata?</t>
  </si>
  <si>
    <t>Specify line number to start file</t>
  </si>
  <si>
    <t xml:space="preserve">Null Value </t>
  </si>
  <si>
    <t>PCI</t>
  </si>
  <si>
    <t>PII Data examples</t>
  </si>
  <si>
    <t>Sensitive Personal Data</t>
  </si>
  <si>
    <r>
      <t>A payment card number, or simply</t>
    </r>
    <r>
      <rPr>
        <b/>
        <sz val="11"/>
        <color theme="1"/>
        <rFont val="Calibri"/>
        <family val="2"/>
        <scheme val="minor"/>
      </rPr>
      <t xml:space="preserve"> a card number</t>
    </r>
    <r>
      <rPr>
        <sz val="10"/>
        <rFont val="Arial"/>
        <family val="2"/>
      </rPr>
      <t>, is the card identifier found on payment cards, such as credit cards and debit cards, as well as stored value cards, gift cards and other similar cards. In some situations the card number is referred to as a bank card number. The card number is merely a card identifier and does not identify the account to which it is linked by the issuing company, nor does it identify the cardholder.</t>
    </r>
  </si>
  <si>
    <t xml:space="preserve">Title </t>
  </si>
  <si>
    <t>Race or ethnic origin</t>
  </si>
  <si>
    <t>Religious beliefs or other beliefs of a similar nature</t>
  </si>
  <si>
    <t>Home Address</t>
  </si>
  <si>
    <t>Political opinions</t>
  </si>
  <si>
    <t>Date of Birth</t>
  </si>
  <si>
    <t>Physical or mental health or condition</t>
  </si>
  <si>
    <t>Email Address</t>
  </si>
  <si>
    <t>Sexual history or orientation</t>
  </si>
  <si>
    <t>Telephone Numbers (landline, Mobile &amp; Work number)</t>
  </si>
  <si>
    <t>Trade union membership</t>
  </si>
  <si>
    <t xml:space="preserve">Marital status </t>
  </si>
  <si>
    <t>Commission or alleged commission of any offense and any related court proceedings</t>
  </si>
  <si>
    <t>Maiden Name</t>
  </si>
  <si>
    <t>Criminal Record Checks</t>
  </si>
  <si>
    <t>Mothers Maiden Name</t>
  </si>
  <si>
    <t>Dependents</t>
  </si>
  <si>
    <t>** additional personal data attributes may be added, not an exhausive list**</t>
  </si>
  <si>
    <t>PPSN</t>
  </si>
  <si>
    <t>Driver Licence Number</t>
  </si>
  <si>
    <t>National Identify card</t>
  </si>
  <si>
    <t>Passport Number</t>
  </si>
  <si>
    <t>Current Account Number</t>
  </si>
  <si>
    <t>Savings Account Number</t>
  </si>
  <si>
    <t xml:space="preserve">Loan Account Number </t>
  </si>
  <si>
    <t>Credit Card Number</t>
  </si>
  <si>
    <t>Credit Card expiration Number</t>
  </si>
  <si>
    <t>Debit Card Number</t>
  </si>
  <si>
    <t>Debit Card expiration Number</t>
  </si>
  <si>
    <t>Consumer Report Information</t>
  </si>
  <si>
    <t>Consumer Credit Check information</t>
  </si>
  <si>
    <t>Insurance Policy Numbers (Life &amp; non Life assurance)</t>
  </si>
  <si>
    <t xml:space="preserve">Customer passwords, security codes, or access codes </t>
  </si>
  <si>
    <t>Customers PIN number</t>
  </si>
  <si>
    <t xml:space="preserve">Customer or third-party symmetric cryptographic keys </t>
  </si>
  <si>
    <t xml:space="preserve">Customer or third-party private cryptographic keys </t>
  </si>
  <si>
    <t>CVV / CVV2</t>
  </si>
  <si>
    <t>Primary Account Number (PAN)</t>
  </si>
  <si>
    <t>Card Identification Number (CID)</t>
  </si>
  <si>
    <t>Terminal Identification Number</t>
  </si>
  <si>
    <t>Staff number</t>
  </si>
  <si>
    <t>Personal health, medical information, including medical history, treatments and diagnosis</t>
  </si>
  <si>
    <t>Vehicle registration number or related information</t>
  </si>
  <si>
    <t xml:space="preserve">Office location </t>
  </si>
  <si>
    <t xml:space="preserve">Salary and compensation </t>
  </si>
  <si>
    <t xml:space="preserve">Work attendance </t>
  </si>
  <si>
    <t xml:space="preserve">Beneficiary information </t>
  </si>
  <si>
    <t>Emergency contacts</t>
  </si>
  <si>
    <t xml:space="preserve">Pension contribution </t>
  </si>
  <si>
    <t xml:space="preserve">Language proficiency </t>
  </si>
  <si>
    <t xml:space="preserve">Employment Investigation  </t>
  </si>
  <si>
    <t xml:space="preserve">Employee evaluation and performance  </t>
  </si>
  <si>
    <t>Disciplinary information.</t>
  </si>
  <si>
    <t>Emails/memos written an/or signed by an employee may be deemed personal data</t>
  </si>
  <si>
    <t xml:space="preserve">Parental/Force Majeure Leave </t>
  </si>
  <si>
    <t>Any accidents connected with Work (Personal Injury claims)</t>
  </si>
  <si>
    <t>Education and qualifications</t>
  </si>
  <si>
    <t>Work experience</t>
  </si>
  <si>
    <t>Details of any known disability</t>
  </si>
  <si>
    <t>Employment history with employer (date employement began, any promotions, current job, job title)</t>
  </si>
  <si>
    <t>Details of terms &amp; Conditions of employement (hours of work, holiday entitlement &amp; any other benefits)</t>
  </si>
  <si>
    <t xml:space="preserve">** additional personal data attributes may be added ** </t>
  </si>
  <si>
    <t>** not an exhausive list**</t>
  </si>
  <si>
    <t>ADDRESS_LINE_3</t>
  </si>
  <si>
    <t>Ballsbridge</t>
  </si>
  <si>
    <t>ADDRESS_LINE_4</t>
  </si>
  <si>
    <t>Dublin 4</t>
  </si>
  <si>
    <t>COUNTY_CODE</t>
  </si>
  <si>
    <t>D04</t>
  </si>
  <si>
    <t>COUNTY_CODE_DESCRIPTION</t>
  </si>
  <si>
    <t>POSTAL_CODE</t>
  </si>
  <si>
    <t>UB8 1SA</t>
  </si>
  <si>
    <t>COUNTRY_KEY</t>
  </si>
  <si>
    <t>IE</t>
  </si>
  <si>
    <t>COUNTRY_NAME</t>
  </si>
  <si>
    <t>VARCHAR(15)</t>
  </si>
  <si>
    <t>Ireland</t>
  </si>
  <si>
    <t>Address Line 3</t>
  </si>
  <si>
    <t>Address Line 4</t>
  </si>
  <si>
    <t>County Code</t>
  </si>
  <si>
    <t>County Code Description</t>
  </si>
  <si>
    <t>Postal Code</t>
  </si>
  <si>
    <t>Country Key</t>
  </si>
  <si>
    <t>Country Name</t>
  </si>
  <si>
    <t>ORT01</t>
  </si>
  <si>
    <t>ORT02</t>
  </si>
  <si>
    <t>STATE</t>
  </si>
  <si>
    <t>PSTLZ</t>
  </si>
  <si>
    <t>LAND1</t>
  </si>
  <si>
    <t>City</t>
  </si>
  <si>
    <t>District</t>
  </si>
  <si>
    <t>Region_Val</t>
  </si>
  <si>
    <t>Region_Text</t>
  </si>
  <si>
    <t>Postal_Code</t>
  </si>
  <si>
    <t>Country_Key_Val</t>
  </si>
  <si>
    <t>Country_Key_Text</t>
  </si>
  <si>
    <t>CHAR(15)</t>
  </si>
  <si>
    <t>utf-8</t>
  </si>
  <si>
    <t>Convert Date to standard date type {replaceAll("00000000","")}</t>
  </si>
  <si>
    <t>Lines Terminated by</t>
  </si>
  <si>
    <t>Scheduler                       Types: Sched,Cron,Tws,Other</t>
  </si>
  <si>
    <t>Tolerance</t>
  </si>
  <si>
    <t>OnSuccess</t>
  </si>
  <si>
    <t>None</t>
  </si>
  <si>
    <t>OnFailure</t>
  </si>
  <si>
    <t>Scheduling Table</t>
  </si>
  <si>
    <t>Cron 1</t>
  </si>
  <si>
    <t>Define the Schedule of loading  - Minute</t>
  </si>
  <si>
    <t>Define the Schedule of loading  - Hour</t>
  </si>
  <si>
    <t>Define the Schedule of loading  - Date</t>
  </si>
  <si>
    <t>Define the Schedule of loading  - Weekday</t>
  </si>
  <si>
    <t>Define the Schedule of loading  - Month</t>
  </si>
  <si>
    <t>INT</t>
  </si>
  <si>
    <t>Highly Restricted</t>
  </si>
  <si>
    <t>Party-Employee</t>
  </si>
  <si>
    <t>Converted Char to Varchar{removePaddedZeros}</t>
  </si>
  <si>
    <t>This is the ID of the SAP user which last changed the record,usually equates to a staff number, but can be alpha numeric</t>
  </si>
  <si>
    <t>VARCHAR(12)</t>
  </si>
  <si>
    <t>Converted Numc to Int</t>
  </si>
  <si>
    <t>{'email':['datascience@aib.ie']}</t>
  </si>
  <si>
    <t>Every Day</t>
  </si>
  <si>
    <t>Tuesday, Wednesday, Thursday, Friday, Saturday</t>
  </si>
  <si>
    <t>Every Month</t>
  </si>
  <si>
    <t>TWS</t>
  </si>
  <si>
    <t>File Date Offset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</si>
</sst>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 #,##0.00_-;_-* &quot;-&quot;??_-;_-@_-"/>
    <numFmt numFmtId="164" formatCode="0.0000"/>
    <numFmt numFmtId="165" formatCode="_-* #,##0_-;\-* #,##0_-;_-* &quot;-&quot;??_-;_-@_-"/>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Calibri"/>
      <family val="2"/>
    </font>
    <font>
      <b/>
      <sz val="8"/>
      <name val="Calibri"/>
      <family val="2"/>
    </font>
    <font>
      <sz val="10"/>
      <name val="Calibri"/>
      <family val="2"/>
    </font>
    <font>
      <b/>
      <sz val="7"/>
      <color indexed="9"/>
      <name val="Calibri"/>
      <family val="2"/>
    </font>
    <font>
      <b/>
      <sz val="10"/>
      <name val="Arial"/>
      <family val="2"/>
    </font>
    <font>
      <sz val="12"/>
      <name val="Arial"/>
      <family val="2"/>
    </font>
    <font>
      <b/>
      <sz val="11"/>
      <name val="Arial"/>
      <family val="2"/>
    </font>
    <font>
      <sz val="8"/>
      <name val="Arial"/>
      <family val="2"/>
    </font>
    <font>
      <sz val="10"/>
      <color indexed="8"/>
      <name val="Arial"/>
      <family val="2"/>
    </font>
    <font>
      <sz val="8"/>
      <color theme="1"/>
      <name val="Calibri"/>
      <family val="2"/>
      <scheme val="minor"/>
    </font>
    <font>
      <strike/>
      <sz val="11"/>
      <color rgb="FFFF0000"/>
      <name val="Calibri"/>
      <family val="2"/>
      <scheme val="minor"/>
    </font>
    <font>
      <strike/>
      <sz val="11"/>
      <color theme="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0"/>
      <name val="Calibri"/>
      <family val="2"/>
      <scheme val="minor"/>
    </font>
    <font>
      <sz val="11"/>
      <name val="Calibri"/>
      <family val="2"/>
      <scheme val="minor"/>
    </font>
    <font>
      <sz val="8"/>
      <color theme="0"/>
      <name val="Calibri"/>
      <family val="2"/>
    </font>
    <font>
      <sz val="8"/>
      <name val="Calibri"/>
      <family val="2"/>
      <scheme val="minor"/>
    </font>
    <font>
      <sz val="11"/>
      <color rgb="FFFF0000"/>
      <name val="Calibri"/>
      <family val="2"/>
      <scheme val="minor"/>
    </font>
    <font>
      <sz val="12"/>
      <name val="Calibri"/>
      <family val="2"/>
    </font>
    <font>
      <sz val="10"/>
      <name val="Arial"/>
      <family val="2"/>
    </font>
    <font>
      <sz val="8"/>
      <color theme="1"/>
      <name val="Segoe UI"/>
      <family val="2"/>
    </font>
    <font>
      <sz val="11"/>
      <color rgb="FF373A3C"/>
      <name val="Segoe UI"/>
      <family val="2"/>
    </font>
    <font>
      <b/>
      <sz val="15"/>
      <color theme="3"/>
      <name val="Calibri"/>
      <family val="2"/>
      <scheme val="minor"/>
    </font>
    <font>
      <b/>
      <sz val="11"/>
      <color theme="1"/>
      <name val="Calibri"/>
      <family val="2"/>
      <scheme val="minor"/>
    </font>
    <font>
      <sz val="11"/>
      <color rgb="FFFF0000"/>
      <name val="Calibri"/>
      <family val="2"/>
    </font>
    <font>
      <b/>
      <sz val="12"/>
      <name val="Calibri"/>
      <family val="2"/>
    </font>
  </fonts>
  <fills count="3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18"/>
        <bgColor indexed="64"/>
      </patternFill>
    </fill>
    <fill>
      <patternFill patternType="solid">
        <fgColor indexed="31"/>
        <bgColor indexed="64"/>
      </patternFill>
    </fill>
    <fill>
      <patternFill patternType="solid">
        <fgColor theme="0" tint="-0.3499862666707357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indexed="64"/>
      </patternFill>
    </fill>
    <fill>
      <patternFill patternType="solid">
        <fgColor theme="9" tint="-0.249977111117893"/>
        <bgColor indexed="64"/>
      </patternFill>
    </fill>
    <fill>
      <patternFill patternType="solid">
        <fgColor rgb="FFFFFF99"/>
        <bgColor indexed="64"/>
      </patternFill>
    </fill>
    <fill>
      <patternFill patternType="solid">
        <fgColor theme="3" tint="0.39997558519241921"/>
        <bgColor indexed="64"/>
      </patternFill>
    </fill>
    <fill>
      <patternFill patternType="solid">
        <fgColor theme="0" tint="-0.14999847407452621"/>
        <bgColor indexed="64"/>
      </patternFill>
    </fill>
  </fills>
  <borders count="32">
    <border>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hair">
        <color indexed="64"/>
      </left>
      <right style="hair">
        <color indexed="64"/>
      </right>
      <top/>
      <bottom style="hair">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right/>
      <top/>
      <bottom style="thick">
        <color theme="4"/>
      </bottom>
      <diagonal/>
    </border>
    <border>
      <left/>
      <right/>
      <top style="thick">
        <color theme="4"/>
      </top>
      <bottom/>
      <diagonal/>
    </border>
  </borders>
  <cellStyleXfs count="60">
    <xf numFmtId="0" fontId="0" fillId="0" borderId="0"/>
    <xf numFmtId="0" fontId="7" fillId="0" borderId="0"/>
    <xf numFmtId="0" fontId="6" fillId="0" borderId="0"/>
    <xf numFmtId="0" fontId="6" fillId="0" borderId="0"/>
    <xf numFmtId="0" fontId="7" fillId="0" borderId="0"/>
    <xf numFmtId="0" fontId="7" fillId="0" borderId="0"/>
    <xf numFmtId="0" fontId="7" fillId="0" borderId="0"/>
    <xf numFmtId="0" fontId="7" fillId="0" borderId="0"/>
    <xf numFmtId="0" fontId="7" fillId="0" borderId="0"/>
    <xf numFmtId="0" fontId="7" fillId="0" borderId="0"/>
    <xf numFmtId="0" fontId="5" fillId="0" borderId="0"/>
    <xf numFmtId="0" fontId="4" fillId="0" borderId="0"/>
    <xf numFmtId="0" fontId="20" fillId="7"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6" borderId="0" applyNumberFormat="0" applyBorder="0" applyAlignment="0" applyProtection="0"/>
    <xf numFmtId="0" fontId="21" fillId="17"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4" borderId="0" applyNumberFormat="0" applyBorder="0" applyAlignment="0" applyProtection="0"/>
    <xf numFmtId="0" fontId="22" fillId="8" borderId="0" applyNumberFormat="0" applyBorder="0" applyAlignment="0" applyProtection="0"/>
    <xf numFmtId="0" fontId="23" fillId="25" borderId="20" applyNumberFormat="0" applyAlignment="0" applyProtection="0"/>
    <xf numFmtId="0" fontId="24" fillId="26" borderId="21" applyNumberFormat="0" applyAlignment="0" applyProtection="0"/>
    <xf numFmtId="0" fontId="25" fillId="0" borderId="0" applyNumberFormat="0" applyFill="0" applyBorder="0" applyAlignment="0" applyProtection="0"/>
    <xf numFmtId="0" fontId="26" fillId="9" borderId="0" applyNumberFormat="0" applyBorder="0" applyAlignment="0" applyProtection="0"/>
    <xf numFmtId="0" fontId="27" fillId="0" borderId="22" applyNumberFormat="0" applyFill="0" applyAlignment="0" applyProtection="0"/>
    <xf numFmtId="0" fontId="28" fillId="0" borderId="23" applyNumberFormat="0" applyFill="0" applyAlignment="0" applyProtection="0"/>
    <xf numFmtId="0" fontId="29" fillId="0" borderId="24" applyNumberFormat="0" applyFill="0" applyAlignment="0" applyProtection="0"/>
    <xf numFmtId="0" fontId="29" fillId="0" borderId="0" applyNumberFormat="0" applyFill="0" applyBorder="0" applyAlignment="0" applyProtection="0"/>
    <xf numFmtId="0" fontId="30" fillId="12" borderId="20" applyNumberFormat="0" applyAlignment="0" applyProtection="0"/>
    <xf numFmtId="0" fontId="31" fillId="0" borderId="25" applyNumberFormat="0" applyFill="0" applyAlignment="0" applyProtection="0"/>
    <xf numFmtId="0" fontId="32" fillId="27" borderId="0" applyNumberFormat="0" applyBorder="0" applyAlignment="0" applyProtection="0"/>
    <xf numFmtId="0" fontId="20" fillId="28" borderId="26" applyNumberFormat="0" applyFont="0" applyAlignment="0" applyProtection="0"/>
    <xf numFmtId="0" fontId="33" fillId="25" borderId="27" applyNumberFormat="0" applyAlignment="0" applyProtection="0"/>
    <xf numFmtId="0" fontId="34" fillId="0" borderId="0" applyNumberFormat="0" applyFill="0" applyBorder="0" applyAlignment="0" applyProtection="0"/>
    <xf numFmtId="0" fontId="35" fillId="0" borderId="28" applyNumberFormat="0" applyFill="0" applyAlignment="0" applyProtection="0"/>
    <xf numFmtId="0" fontId="36" fillId="0" borderId="0" applyNumberFormat="0" applyFill="0" applyBorder="0" applyAlignment="0" applyProtection="0"/>
    <xf numFmtId="0" fontId="2" fillId="0" borderId="0"/>
    <xf numFmtId="0" fontId="2" fillId="0" borderId="0"/>
    <xf numFmtId="0" fontId="2" fillId="0" borderId="0"/>
    <xf numFmtId="0" fontId="2" fillId="0" borderId="0"/>
    <xf numFmtId="43" fontId="43" fillId="0" borderId="0" applyFont="0" applyFill="0" applyBorder="0" applyAlignment="0" applyProtection="0"/>
    <xf numFmtId="0" fontId="46" fillId="0" borderId="30" applyNumberFormat="0" applyFill="0" applyAlignment="0" applyProtection="0"/>
    <xf numFmtId="0" fontId="1" fillId="0" borderId="0"/>
  </cellStyleXfs>
  <cellXfs count="136">
    <xf numFmtId="0" fontId="0" fillId="0" borderId="0" xfId="0"/>
    <xf numFmtId="0" fontId="10" fillId="0" borderId="5" xfId="1" applyFont="1" applyFill="1" applyBorder="1" applyAlignment="1">
      <alignment horizontal="left" vertical="top" wrapText="1"/>
    </xf>
    <xf numFmtId="0" fontId="11" fillId="4" borderId="0" xfId="1" applyFont="1" applyFill="1" applyAlignment="1">
      <alignment horizontal="center" vertical="top"/>
    </xf>
    <xf numFmtId="14" fontId="11" fillId="4" borderId="0" xfId="1" applyNumberFormat="1" applyFont="1" applyFill="1" applyAlignment="1">
      <alignment horizontal="center" vertical="top"/>
    </xf>
    <xf numFmtId="0" fontId="10" fillId="0" borderId="5" xfId="1" quotePrefix="1" applyFont="1" applyFill="1" applyBorder="1" applyAlignment="1">
      <alignment horizontal="left" vertical="top" wrapText="1"/>
    </xf>
    <xf numFmtId="14" fontId="10" fillId="0" borderId="5" xfId="1" applyNumberFormat="1" applyFont="1" applyFill="1" applyBorder="1" applyAlignment="1">
      <alignment horizontal="left" vertical="top" wrapText="1"/>
    </xf>
    <xf numFmtId="0" fontId="7" fillId="0" borderId="19" xfId="2" applyFont="1" applyBorder="1" applyAlignment="1">
      <alignment vertical="top" wrapText="1"/>
    </xf>
    <xf numFmtId="0" fontId="7" fillId="0" borderId="8" xfId="2" applyFont="1" applyBorder="1" applyAlignment="1">
      <alignment vertical="top" wrapText="1"/>
    </xf>
    <xf numFmtId="0" fontId="7" fillId="0" borderId="8" xfId="1" applyFont="1" applyFill="1" applyBorder="1" applyAlignment="1">
      <alignment vertical="top" wrapText="1"/>
    </xf>
    <xf numFmtId="0" fontId="16" fillId="0" borderId="8" xfId="2" applyFont="1" applyBorder="1" applyAlignment="1">
      <alignment wrapText="1"/>
    </xf>
    <xf numFmtId="0" fontId="16" fillId="0" borderId="18" xfId="2" applyFont="1" applyBorder="1" applyAlignment="1">
      <alignment wrapText="1"/>
    </xf>
    <xf numFmtId="0" fontId="5" fillId="0" borderId="0" xfId="10"/>
    <xf numFmtId="0" fontId="5" fillId="0" borderId="6" xfId="10" applyBorder="1"/>
    <xf numFmtId="0" fontId="5" fillId="0" borderId="6" xfId="10" applyBorder="1" applyAlignment="1">
      <alignment wrapText="1"/>
    </xf>
    <xf numFmtId="0" fontId="5" fillId="6" borderId="6" xfId="10" applyFill="1" applyBorder="1"/>
    <xf numFmtId="0" fontId="5" fillId="6" borderId="6" xfId="10" applyFill="1" applyBorder="1" applyAlignment="1">
      <alignment wrapText="1"/>
    </xf>
    <xf numFmtId="0" fontId="18" fillId="0" borderId="6" xfId="10" applyFont="1" applyBorder="1"/>
    <xf numFmtId="0" fontId="18" fillId="0" borderId="6" xfId="10" applyFont="1" applyBorder="1" applyAlignment="1">
      <alignment wrapText="1"/>
    </xf>
    <xf numFmtId="0" fontId="19" fillId="0" borderId="6" xfId="10" applyFont="1" applyBorder="1" applyAlignment="1">
      <alignment wrapText="1"/>
    </xf>
    <xf numFmtId="0" fontId="19" fillId="0" borderId="6" xfId="10" applyFont="1" applyBorder="1"/>
    <xf numFmtId="0" fontId="18" fillId="0" borderId="6" xfId="10" applyFont="1" applyBorder="1" applyAlignment="1">
      <alignment vertical="top"/>
    </xf>
    <xf numFmtId="0" fontId="18" fillId="0" borderId="6" xfId="10" applyFont="1" applyBorder="1" applyAlignment="1">
      <alignment vertical="top" wrapText="1"/>
    </xf>
    <xf numFmtId="3" fontId="18" fillId="0" borderId="6" xfId="10" applyNumberFormat="1" applyFont="1" applyBorder="1" applyAlignment="1">
      <alignment vertical="top" wrapText="1"/>
    </xf>
    <xf numFmtId="0" fontId="3" fillId="6" borderId="6" xfId="10" applyFont="1" applyFill="1" applyBorder="1" applyAlignment="1">
      <alignment wrapText="1"/>
    </xf>
    <xf numFmtId="0" fontId="38" fillId="29" borderId="0" xfId="0" applyFont="1" applyFill="1" applyAlignment="1" applyProtection="1">
      <alignment vertical="top" wrapText="1"/>
      <protection locked="0"/>
    </xf>
    <xf numFmtId="0" fontId="38" fillId="0" borderId="0" xfId="0" applyFont="1" applyProtection="1">
      <protection locked="0"/>
    </xf>
    <xf numFmtId="0" fontId="37" fillId="0" borderId="0" xfId="0" applyFont="1" applyProtection="1">
      <protection locked="0"/>
    </xf>
    <xf numFmtId="0" fontId="38" fillId="0" borderId="0" xfId="0" applyFont="1" applyFill="1" applyProtection="1">
      <protection locked="0"/>
    </xf>
    <xf numFmtId="0" fontId="38" fillId="0" borderId="6" xfId="0" applyFont="1" applyBorder="1" applyProtection="1">
      <protection locked="0"/>
    </xf>
    <xf numFmtId="0" fontId="8" fillId="0" borderId="6" xfId="0" applyFont="1" applyFill="1" applyBorder="1" applyAlignment="1" applyProtection="1">
      <alignment horizontal="left" vertical="top" wrapText="1"/>
      <protection locked="0"/>
    </xf>
    <xf numFmtId="0" fontId="8" fillId="2" borderId="6" xfId="0" applyFont="1" applyFill="1" applyBorder="1" applyAlignment="1" applyProtection="1">
      <alignment horizontal="left" vertical="top" wrapText="1"/>
      <protection locked="0"/>
    </xf>
    <xf numFmtId="0" fontId="17" fillId="0" borderId="6" xfId="0" applyFont="1" applyBorder="1" applyAlignment="1" applyProtection="1">
      <alignment horizontal="left" vertical="center" wrapText="1"/>
      <protection locked="0"/>
    </xf>
    <xf numFmtId="0" fontId="38" fillId="0" borderId="11" xfId="0" applyFont="1" applyFill="1" applyBorder="1" applyProtection="1">
      <protection locked="0"/>
    </xf>
    <xf numFmtId="1" fontId="17" fillId="0" borderId="6" xfId="0" applyNumberFormat="1" applyFont="1" applyBorder="1" applyAlignment="1" applyProtection="1">
      <alignment horizontal="left" vertical="center" wrapText="1"/>
      <protection locked="0"/>
    </xf>
    <xf numFmtId="0" fontId="40" fillId="0" borderId="6" xfId="0" applyFont="1" applyBorder="1" applyAlignment="1" applyProtection="1">
      <alignment horizontal="left" vertical="center" wrapText="1"/>
      <protection locked="0"/>
    </xf>
    <xf numFmtId="0" fontId="40" fillId="0" borderId="0" xfId="0" applyFont="1" applyFill="1" applyAlignment="1" applyProtection="1">
      <alignment horizontal="left" vertical="center" wrapText="1"/>
      <protection locked="0"/>
    </xf>
    <xf numFmtId="0" fontId="40" fillId="0" borderId="0" xfId="0" applyFont="1" applyAlignment="1" applyProtection="1">
      <alignment horizontal="left" vertical="center" wrapText="1"/>
      <protection locked="0"/>
    </xf>
    <xf numFmtId="0" fontId="38" fillId="29" borderId="0" xfId="0" applyFont="1" applyFill="1" applyAlignment="1" applyProtection="1">
      <alignment vertical="top" wrapText="1"/>
    </xf>
    <xf numFmtId="0" fontId="38" fillId="29" borderId="0" xfId="0" applyFont="1" applyFill="1" applyAlignment="1" applyProtection="1">
      <alignment horizontal="center" vertical="top" wrapText="1"/>
    </xf>
    <xf numFmtId="0" fontId="38" fillId="0" borderId="0" xfId="0" applyFont="1" applyFill="1" applyProtection="1"/>
    <xf numFmtId="0" fontId="9" fillId="2" borderId="0" xfId="1" applyFont="1" applyFill="1" applyBorder="1" applyAlignment="1" applyProtection="1">
      <alignment horizontal="center" vertical="top" wrapText="1"/>
    </xf>
    <xf numFmtId="14" fontId="38" fillId="0" borderId="6" xfId="0" applyNumberFormat="1" applyFont="1" applyBorder="1" applyProtection="1">
      <protection locked="0"/>
    </xf>
    <xf numFmtId="0" fontId="8" fillId="0" borderId="6" xfId="1" applyFont="1" applyFill="1" applyBorder="1" applyAlignment="1" applyProtection="1">
      <alignment horizontal="left" vertical="center" wrapText="1"/>
      <protection locked="0"/>
    </xf>
    <xf numFmtId="0" fontId="8" fillId="2" borderId="6" xfId="9" applyFont="1" applyFill="1" applyBorder="1" applyAlignment="1" applyProtection="1">
      <alignment horizontal="left" vertical="top" wrapText="1"/>
      <protection locked="0"/>
    </xf>
    <xf numFmtId="0" fontId="8" fillId="0" borderId="6" xfId="1" applyFont="1" applyFill="1" applyBorder="1" applyAlignment="1" applyProtection="1">
      <alignment horizontal="center" vertical="center" wrapText="1"/>
      <protection locked="0"/>
    </xf>
    <xf numFmtId="0" fontId="8" fillId="2" borderId="0" xfId="1" applyFont="1" applyFill="1" applyBorder="1" applyAlignment="1" applyProtection="1">
      <alignment horizontal="center" vertical="top" wrapText="1"/>
    </xf>
    <xf numFmtId="0" fontId="9" fillId="3" borderId="1" xfId="1" applyNumberFormat="1" applyFont="1" applyFill="1" applyBorder="1" applyAlignment="1" applyProtection="1">
      <alignment horizontal="left" vertical="top" wrapText="1"/>
    </xf>
    <xf numFmtId="0" fontId="9" fillId="3" borderId="2" xfId="1" applyNumberFormat="1" applyFont="1" applyFill="1" applyBorder="1" applyAlignment="1" applyProtection="1">
      <alignment horizontal="left" vertical="top" wrapText="1"/>
    </xf>
    <xf numFmtId="0" fontId="38" fillId="30" borderId="0" xfId="0" applyFont="1" applyFill="1" applyAlignment="1" applyProtection="1">
      <alignment vertical="top" wrapText="1"/>
    </xf>
    <xf numFmtId="0" fontId="38" fillId="0" borderId="0" xfId="0" applyFont="1" applyProtection="1"/>
    <xf numFmtId="0" fontId="37" fillId="0" borderId="0" xfId="0" applyFont="1" applyProtection="1"/>
    <xf numFmtId="0" fontId="9" fillId="31" borderId="1" xfId="1" applyNumberFormat="1" applyFont="1" applyFill="1" applyBorder="1" applyAlignment="1" applyProtection="1">
      <alignment horizontal="left" vertical="top" wrapText="1"/>
    </xf>
    <xf numFmtId="0" fontId="38" fillId="31" borderId="0" xfId="0" applyFont="1" applyFill="1" applyAlignment="1" applyProtection="1">
      <alignment vertical="top" wrapText="1"/>
    </xf>
    <xf numFmtId="0" fontId="8" fillId="31" borderId="6" xfId="1" applyFont="1" applyFill="1" applyBorder="1" applyAlignment="1" applyProtection="1">
      <alignment horizontal="center" vertical="top" wrapText="1"/>
    </xf>
    <xf numFmtId="0" fontId="39" fillId="32" borderId="6" xfId="1" applyFont="1" applyFill="1" applyBorder="1" applyAlignment="1" applyProtection="1">
      <alignment horizontal="center" vertical="top" wrapText="1"/>
    </xf>
    <xf numFmtId="0" fontId="9" fillId="32" borderId="1" xfId="1" applyNumberFormat="1" applyFont="1" applyFill="1" applyBorder="1" applyAlignment="1" applyProtection="1">
      <alignment horizontal="left" vertical="top" wrapText="1"/>
    </xf>
    <xf numFmtId="0" fontId="38" fillId="32" borderId="0" xfId="0" applyFont="1" applyFill="1" applyAlignment="1" applyProtection="1">
      <alignment vertical="top" wrapText="1"/>
    </xf>
    <xf numFmtId="0" fontId="39" fillId="32" borderId="1" xfId="1" applyFont="1" applyFill="1" applyBorder="1" applyAlignment="1" applyProtection="1">
      <alignment horizontal="center" vertical="top" wrapText="1"/>
    </xf>
    <xf numFmtId="0" fontId="8" fillId="31" borderId="6" xfId="6" applyFont="1" applyFill="1" applyBorder="1" applyAlignment="1" applyProtection="1">
      <alignment horizontal="center" vertical="top" wrapText="1"/>
    </xf>
    <xf numFmtId="0" fontId="8" fillId="31" borderId="1" xfId="1" applyFont="1" applyFill="1" applyBorder="1" applyAlignment="1" applyProtection="1">
      <alignment horizontal="center" vertical="top" wrapText="1"/>
    </xf>
    <xf numFmtId="0" fontId="42" fillId="2" borderId="0" xfId="1" applyFont="1" applyFill="1" applyBorder="1" applyAlignment="1" applyProtection="1">
      <alignment horizontal="center" vertical="top" wrapText="1"/>
    </xf>
    <xf numFmtId="0" fontId="8" fillId="29" borderId="29" xfId="1" applyFont="1" applyFill="1" applyBorder="1" applyAlignment="1" applyProtection="1">
      <alignment horizontal="center" vertical="top" wrapText="1"/>
    </xf>
    <xf numFmtId="0" fontId="8" fillId="29" borderId="0" xfId="1" applyFont="1" applyFill="1" applyBorder="1" applyAlignment="1" applyProtection="1">
      <alignment horizontal="center" vertical="top" wrapText="1"/>
    </xf>
    <xf numFmtId="0" fontId="8" fillId="0" borderId="6" xfId="1" applyFont="1" applyFill="1" applyBorder="1" applyAlignment="1" applyProtection="1">
      <alignment horizontal="left" vertical="center" wrapText="1"/>
    </xf>
    <xf numFmtId="0" fontId="8" fillId="0" borderId="6" xfId="0" applyFont="1" applyFill="1" applyBorder="1" applyAlignment="1" applyProtection="1">
      <alignment horizontal="left" vertical="top" wrapText="1"/>
    </xf>
    <xf numFmtId="0" fontId="9" fillId="32" borderId="3" xfId="1" applyNumberFormat="1" applyFont="1" applyFill="1" applyBorder="1" applyAlignment="1" applyProtection="1">
      <alignment horizontal="left" vertical="top" wrapText="1"/>
    </xf>
    <xf numFmtId="0" fontId="9" fillId="32" borderId="4" xfId="1" applyNumberFormat="1" applyFont="1" applyFill="1" applyBorder="1" applyAlignment="1" applyProtection="1">
      <alignment horizontal="left" vertical="top" wrapText="1"/>
    </xf>
    <xf numFmtId="0" fontId="8" fillId="0" borderId="6" xfId="8" applyFont="1" applyFill="1" applyBorder="1" applyAlignment="1" applyProtection="1">
      <alignment horizontal="left" vertical="top" wrapText="1"/>
      <protection locked="0"/>
    </xf>
    <xf numFmtId="0" fontId="17" fillId="0" borderId="0" xfId="0" applyFont="1" applyAlignment="1" applyProtection="1">
      <alignment horizontal="left" vertical="center" wrapText="1"/>
      <protection locked="0"/>
    </xf>
    <xf numFmtId="0" fontId="0" fillId="0" borderId="6" xfId="0" applyBorder="1"/>
    <xf numFmtId="3" fontId="0" fillId="0" borderId="6" xfId="57" applyNumberFormat="1" applyFont="1" applyBorder="1" applyAlignment="1"/>
    <xf numFmtId="164" fontId="0" fillId="0" borderId="6" xfId="0" applyNumberFormat="1" applyBorder="1"/>
    <xf numFmtId="0" fontId="0" fillId="0" borderId="6" xfId="10" applyFont="1" applyBorder="1" applyAlignment="1">
      <alignment vertical="top" wrapText="1"/>
    </xf>
    <xf numFmtId="0" fontId="0" fillId="0" borderId="6" xfId="10" applyFont="1" applyFill="1" applyBorder="1" applyAlignment="1">
      <alignment vertical="top" wrapText="1"/>
    </xf>
    <xf numFmtId="164" fontId="0" fillId="0" borderId="6" xfId="10" applyNumberFormat="1" applyFont="1" applyBorder="1" applyAlignment="1">
      <alignment vertical="top"/>
    </xf>
    <xf numFmtId="3" fontId="0" fillId="0" borderId="6" xfId="0" applyNumberFormat="1" applyBorder="1" applyAlignment="1"/>
    <xf numFmtId="165" fontId="0" fillId="0" borderId="6" xfId="57" applyNumberFormat="1" applyFont="1" applyBorder="1"/>
    <xf numFmtId="0" fontId="8" fillId="0" borderId="6" xfId="1" applyFont="1" applyFill="1" applyBorder="1" applyAlignment="1">
      <alignment horizontal="left" vertical="top" wrapText="1"/>
    </xf>
    <xf numFmtId="0" fontId="8" fillId="0" borderId="6" xfId="1" applyFont="1" applyFill="1" applyBorder="1" applyAlignment="1">
      <alignment horizontal="center" vertical="top" wrapText="1"/>
    </xf>
    <xf numFmtId="0" fontId="17" fillId="0" borderId="0" xfId="0" applyFont="1" applyAlignment="1">
      <alignment vertical="center"/>
    </xf>
    <xf numFmtId="0" fontId="44" fillId="0" borderId="0" xfId="0" applyFont="1" applyAlignment="1">
      <alignment vertical="center"/>
    </xf>
    <xf numFmtId="0" fontId="45" fillId="0" borderId="0" xfId="0" applyFont="1"/>
    <xf numFmtId="0" fontId="41" fillId="29" borderId="0" xfId="0" applyFont="1" applyFill="1" applyAlignment="1" applyProtection="1">
      <alignment vertical="top" wrapText="1"/>
    </xf>
    <xf numFmtId="0" fontId="46" fillId="0" borderId="30" xfId="58"/>
    <xf numFmtId="0" fontId="46" fillId="0" borderId="30" xfId="58" applyFill="1"/>
    <xf numFmtId="0" fontId="46" fillId="0" borderId="30" xfId="58" applyAlignment="1">
      <alignment vertical="center"/>
    </xf>
    <xf numFmtId="0" fontId="1" fillId="0" borderId="0" xfId="59"/>
    <xf numFmtId="0" fontId="46" fillId="0" borderId="30" xfId="58" applyAlignment="1">
      <alignment horizontal="left" vertical="center" indent="8"/>
    </xf>
    <xf numFmtId="0" fontId="46" fillId="0" borderId="30" xfId="58" applyAlignment="1">
      <alignment horizontal="left" vertical="center"/>
    </xf>
    <xf numFmtId="0" fontId="1" fillId="33" borderId="0" xfId="59" applyFill="1" applyBorder="1" applyAlignment="1">
      <alignment horizontal="left" wrapText="1"/>
    </xf>
    <xf numFmtId="0" fontId="1" fillId="33" borderId="0" xfId="59" applyFill="1" applyAlignment="1">
      <alignment horizontal="left" wrapText="1"/>
    </xf>
    <xf numFmtId="0" fontId="41" fillId="0" borderId="0" xfId="59" applyFont="1"/>
    <xf numFmtId="0" fontId="1" fillId="33" borderId="0" xfId="59" applyFill="1" applyAlignment="1"/>
    <xf numFmtId="0" fontId="38" fillId="0" borderId="0" xfId="59" applyFont="1"/>
    <xf numFmtId="0" fontId="1" fillId="33" borderId="0" xfId="59" applyFill="1"/>
    <xf numFmtId="0" fontId="1" fillId="0" borderId="0" xfId="59" applyFont="1" applyAlignment="1">
      <alignment horizontal="left" vertical="center"/>
    </xf>
    <xf numFmtId="0" fontId="1" fillId="0" borderId="0" xfId="59" applyFont="1" applyAlignment="1">
      <alignment horizontal="left" vertical="top" indent="1"/>
    </xf>
    <xf numFmtId="0" fontId="1" fillId="0" borderId="0" xfId="59" applyFont="1" applyAlignment="1">
      <alignment horizontal="left" vertical="center" wrapText="1"/>
    </xf>
    <xf numFmtId="0" fontId="41" fillId="0" borderId="0" xfId="59" applyFont="1" applyAlignment="1">
      <alignment vertical="center"/>
    </xf>
    <xf numFmtId="0" fontId="1" fillId="0" borderId="0" xfId="59" applyFont="1" applyFill="1" applyAlignment="1">
      <alignment horizontal="left" vertical="center"/>
    </xf>
    <xf numFmtId="0" fontId="48" fillId="0" borderId="0" xfId="59" applyFont="1" applyAlignment="1">
      <alignment horizontal="left" vertical="center" wrapText="1"/>
    </xf>
    <xf numFmtId="0" fontId="1" fillId="0" borderId="0" xfId="59" applyFont="1" applyAlignment="1">
      <alignment horizontal="center" vertical="top"/>
    </xf>
    <xf numFmtId="0" fontId="1" fillId="0" borderId="0" xfId="59" applyAlignment="1">
      <alignment horizontal="center"/>
    </xf>
    <xf numFmtId="0" fontId="49" fillId="3" borderId="6" xfId="1" applyNumberFormat="1" applyFont="1" applyFill="1" applyBorder="1" applyAlignment="1" applyProtection="1">
      <alignment horizontal="center" vertical="top" wrapText="1"/>
    </xf>
    <xf numFmtId="0" fontId="38" fillId="31" borderId="6" xfId="0" applyFont="1" applyFill="1" applyBorder="1" applyAlignment="1" applyProtection="1"/>
    <xf numFmtId="0" fontId="8" fillId="0" borderId="6" xfId="1" applyFont="1" applyFill="1" applyBorder="1" applyAlignment="1" applyProtection="1">
      <alignment vertical="top" wrapText="1"/>
      <protection locked="0"/>
    </xf>
    <xf numFmtId="0" fontId="8" fillId="0" borderId="0" xfId="1" applyFont="1" applyFill="1" applyBorder="1" applyAlignment="1" applyProtection="1">
      <alignment horizontal="left" vertical="top" wrapText="1"/>
      <protection locked="0"/>
    </xf>
    <xf numFmtId="0" fontId="8" fillId="29" borderId="0" xfId="1" applyFont="1" applyFill="1" applyBorder="1" applyAlignment="1" applyProtection="1">
      <alignment horizontal="left" vertical="top" wrapText="1"/>
      <protection locked="0"/>
    </xf>
    <xf numFmtId="0" fontId="8" fillId="29" borderId="0" xfId="1" applyFont="1" applyFill="1" applyBorder="1" applyAlignment="1" applyProtection="1">
      <alignment horizontal="left" vertical="top" wrapText="1"/>
    </xf>
    <xf numFmtId="0" fontId="14" fillId="2" borderId="12" xfId="1" applyFont="1" applyFill="1" applyBorder="1" applyAlignment="1">
      <alignment vertical="center" wrapText="1"/>
    </xf>
    <xf numFmtId="0" fontId="14" fillId="2" borderId="13" xfId="1" applyFont="1" applyFill="1" applyBorder="1" applyAlignment="1">
      <alignment vertical="center" wrapText="1"/>
    </xf>
    <xf numFmtId="0" fontId="14" fillId="2" borderId="16" xfId="1" applyFont="1" applyFill="1" applyBorder="1" applyAlignment="1">
      <alignment vertical="center" wrapText="1"/>
    </xf>
    <xf numFmtId="0" fontId="14" fillId="2" borderId="17" xfId="1" applyFont="1" applyFill="1" applyBorder="1" applyAlignment="1">
      <alignment vertical="center" wrapText="1"/>
    </xf>
    <xf numFmtId="0" fontId="12" fillId="5" borderId="10" xfId="1" applyFont="1" applyFill="1" applyBorder="1" applyAlignment="1">
      <alignment horizontal="center" vertical="center" wrapText="1"/>
    </xf>
    <xf numFmtId="0" fontId="12" fillId="5" borderId="18" xfId="1" applyFont="1" applyFill="1" applyBorder="1" applyAlignment="1">
      <alignment horizontal="center" vertical="center" wrapText="1"/>
    </xf>
    <xf numFmtId="0" fontId="13" fillId="2" borderId="12" xfId="1" applyFont="1" applyFill="1" applyBorder="1" applyAlignment="1">
      <alignment vertical="top"/>
    </xf>
    <xf numFmtId="0" fontId="13" fillId="2" borderId="13" xfId="1" applyFont="1" applyFill="1" applyBorder="1" applyAlignment="1">
      <alignment vertical="top"/>
    </xf>
    <xf numFmtId="0" fontId="13" fillId="2" borderId="14" xfId="1" applyFont="1" applyFill="1" applyBorder="1" applyAlignment="1">
      <alignment vertical="top"/>
    </xf>
    <xf numFmtId="0" fontId="13" fillId="2" borderId="15" xfId="1" applyFont="1" applyFill="1" applyBorder="1" applyAlignment="1">
      <alignment vertical="top"/>
    </xf>
    <xf numFmtId="0" fontId="13" fillId="2" borderId="16" xfId="1" applyFont="1" applyFill="1" applyBorder="1" applyAlignment="1">
      <alignment vertical="top"/>
    </xf>
    <xf numFmtId="0" fontId="13" fillId="2" borderId="17" xfId="1" applyFont="1" applyFill="1" applyBorder="1" applyAlignment="1">
      <alignment vertical="top"/>
    </xf>
    <xf numFmtId="0" fontId="8" fillId="0" borderId="1" xfId="1" applyFont="1" applyFill="1" applyBorder="1" applyAlignment="1" applyProtection="1">
      <alignment horizontal="left" vertical="top" wrapText="1"/>
      <protection locked="0"/>
    </xf>
    <xf numFmtId="0" fontId="8" fillId="0" borderId="9" xfId="1" applyFont="1" applyFill="1" applyBorder="1" applyAlignment="1" applyProtection="1">
      <alignment horizontal="left" vertical="top" wrapText="1"/>
      <protection locked="0"/>
    </xf>
    <xf numFmtId="0" fontId="8" fillId="0" borderId="7" xfId="1" applyFont="1" applyFill="1" applyBorder="1" applyAlignment="1" applyProtection="1">
      <alignment horizontal="left" vertical="top" wrapText="1"/>
      <protection locked="0"/>
    </xf>
    <xf numFmtId="0" fontId="8" fillId="29" borderId="1" xfId="1" applyFont="1" applyFill="1" applyBorder="1" applyAlignment="1" applyProtection="1">
      <alignment horizontal="left" vertical="top" wrapText="1"/>
      <protection locked="0"/>
    </xf>
    <xf numFmtId="0" fontId="8" fillId="29" borderId="9" xfId="1" applyFont="1" applyFill="1" applyBorder="1" applyAlignment="1" applyProtection="1">
      <alignment horizontal="left" vertical="top" wrapText="1"/>
      <protection locked="0"/>
    </xf>
    <xf numFmtId="0" fontId="8" fillId="29" borderId="7" xfId="1" applyFont="1" applyFill="1" applyBorder="1" applyAlignment="1" applyProtection="1">
      <alignment horizontal="left" vertical="top" wrapText="1"/>
      <protection locked="0"/>
    </xf>
    <xf numFmtId="0" fontId="8" fillId="0" borderId="1" xfId="1" applyFont="1" applyFill="1" applyBorder="1" applyAlignment="1" applyProtection="1">
      <alignment horizontal="left" vertical="top" wrapText="1"/>
    </xf>
    <xf numFmtId="0" fontId="8" fillId="0" borderId="9" xfId="1" applyFont="1" applyFill="1" applyBorder="1" applyAlignment="1" applyProtection="1">
      <alignment horizontal="left" vertical="top" wrapText="1"/>
    </xf>
    <xf numFmtId="0" fontId="8" fillId="0" borderId="7" xfId="1" applyFont="1" applyFill="1" applyBorder="1" applyAlignment="1" applyProtection="1">
      <alignment horizontal="left" vertical="top" wrapText="1"/>
    </xf>
    <xf numFmtId="0" fontId="8" fillId="29" borderId="1" xfId="1" applyFont="1" applyFill="1" applyBorder="1" applyAlignment="1" applyProtection="1">
      <alignment horizontal="left" vertical="top" wrapText="1"/>
    </xf>
    <xf numFmtId="0" fontId="8" fillId="29" borderId="9" xfId="1" applyFont="1" applyFill="1" applyBorder="1" applyAlignment="1" applyProtection="1">
      <alignment horizontal="left" vertical="top" wrapText="1"/>
    </xf>
    <xf numFmtId="0" fontId="8" fillId="29" borderId="7" xfId="1" applyFont="1" applyFill="1" applyBorder="1" applyAlignment="1" applyProtection="1">
      <alignment horizontal="left" vertical="top" wrapText="1"/>
    </xf>
    <xf numFmtId="0" fontId="1" fillId="0" borderId="31" xfId="59" applyBorder="1" applyAlignment="1">
      <alignment horizontal="left" wrapText="1"/>
    </xf>
    <xf numFmtId="0" fontId="1" fillId="0" borderId="0" xfId="59" applyAlignment="1">
      <alignment horizontal="left" wrapText="1"/>
    </xf>
    <xf numFmtId="0" fontId="1" fillId="0" borderId="0" xfId="59" applyAlignment="1"/>
  </cellXfs>
  <cellStyles count="60">
    <cellStyle name="20% - Accent1 2" xfId="12"/>
    <cellStyle name="20% - Accent2 2" xfId="13"/>
    <cellStyle name="20% - Accent3 2" xfId="14"/>
    <cellStyle name="20% - Accent4 2" xfId="15"/>
    <cellStyle name="20% - Accent5 2" xfId="16"/>
    <cellStyle name="20% - Accent6 2" xfId="17"/>
    <cellStyle name="40% - Accent1 2" xfId="18"/>
    <cellStyle name="40% - Accent2 2" xfId="19"/>
    <cellStyle name="40% - Accent3 2" xfId="20"/>
    <cellStyle name="40% - Accent4 2" xfId="21"/>
    <cellStyle name="40% - Accent5 2" xfId="22"/>
    <cellStyle name="40% - Accent6 2" xfId="23"/>
    <cellStyle name="60% - Accent1 2" xfId="24"/>
    <cellStyle name="60% - Accent2 2" xfId="25"/>
    <cellStyle name="60% - Accent3 2" xfId="26"/>
    <cellStyle name="60% - Accent4 2" xfId="27"/>
    <cellStyle name="60% - Accent5 2" xfId="28"/>
    <cellStyle name="60% - Accent6 2" xfId="29"/>
    <cellStyle name="Accent1 2" xfId="30"/>
    <cellStyle name="Accent2 2" xfId="31"/>
    <cellStyle name="Accent3 2" xfId="32"/>
    <cellStyle name="Accent4 2" xfId="33"/>
    <cellStyle name="Accent5 2" xfId="34"/>
    <cellStyle name="Accent6 2" xfId="35"/>
    <cellStyle name="Bad 2" xfId="36"/>
    <cellStyle name="Calculation 2" xfId="37"/>
    <cellStyle name="Check Cell 2" xfId="38"/>
    <cellStyle name="Comma" xfId="57" builtinId="3"/>
    <cellStyle name="Explanatory Text 2" xfId="39"/>
    <cellStyle name="Good 2" xfId="40"/>
    <cellStyle name="Heading 1" xfId="58" builtinId="16"/>
    <cellStyle name="Heading 1 2" xfId="41"/>
    <cellStyle name="Heading 2 2" xfId="42"/>
    <cellStyle name="Heading 3 2" xfId="43"/>
    <cellStyle name="Heading 4 2" xfId="44"/>
    <cellStyle name="Input 2" xfId="45"/>
    <cellStyle name="Linked Cell 2" xfId="46"/>
    <cellStyle name="Neutral 2" xfId="47"/>
    <cellStyle name="Normal" xfId="0" builtinId="0"/>
    <cellStyle name="Normal 2" xfId="1"/>
    <cellStyle name="Normal 2 2" xfId="9"/>
    <cellStyle name="Normal 3" xfId="3"/>
    <cellStyle name="Normal 3 2" xfId="8"/>
    <cellStyle name="Normal 3 3" xfId="54"/>
    <cellStyle name="Normal 4" xfId="4"/>
    <cellStyle name="Normal 4 2" xfId="5"/>
    <cellStyle name="Normal 5" xfId="6"/>
    <cellStyle name="Normal 5 2" xfId="7"/>
    <cellStyle name="Normal 6" xfId="2"/>
    <cellStyle name="Normal 6 2" xfId="53"/>
    <cellStyle name="Normal 7" xfId="10"/>
    <cellStyle name="Normal 7 2" xfId="55"/>
    <cellStyle name="Normal 8" xfId="11"/>
    <cellStyle name="Normal 8 2" xfId="56"/>
    <cellStyle name="Normal 9" xfId="59"/>
    <cellStyle name="Note 2" xfId="48"/>
    <cellStyle name="Output 2" xfId="49"/>
    <cellStyle name="Title 2" xfId="50"/>
    <cellStyle name="Total 2" xfId="51"/>
    <cellStyle name="Warning Text 2" xfId="52"/>
  </cellStyles>
  <dxfs count="15">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s>
  <tableStyles count="0" defaultTableStyle="TableStyleMedium2" defaultPivotStyle="PivotStyleLight16"/>
  <colors>
    <mruColors>
      <color rgb="FFFFFF99"/>
      <color rgb="FF99CCFF"/>
      <color rgb="FFCCFF66"/>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8</xdr:col>
      <xdr:colOff>171450</xdr:colOff>
      <xdr:row>37</xdr:row>
      <xdr:rowOff>133350</xdr:rowOff>
    </xdr:from>
    <xdr:to>
      <xdr:col>11</xdr:col>
      <xdr:colOff>276225</xdr:colOff>
      <xdr:row>43</xdr:row>
      <xdr:rowOff>276225</xdr:rowOff>
    </xdr:to>
    <xdr:sp macro="" textlink="">
      <xdr:nvSpPr>
        <xdr:cNvPr id="2" name="TextBox 1"/>
        <xdr:cNvSpPr txBox="1"/>
      </xdr:nvSpPr>
      <xdr:spPr>
        <a:xfrm>
          <a:off x="11210925" y="6429375"/>
          <a:ext cx="5133975" cy="1390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1600">
              <a:solidFill>
                <a:srgbClr val="FF0000"/>
              </a:solidFill>
            </a:rPr>
            <a:t>** WARNING ** </a:t>
          </a:r>
        </a:p>
        <a:p>
          <a:pPr algn="l"/>
          <a:endParaRPr lang="en-IE" sz="1100"/>
        </a:p>
        <a:p>
          <a:pPr algn="l"/>
          <a:endParaRPr lang="en-IE" sz="1100"/>
        </a:p>
        <a:p>
          <a:pPr algn="l"/>
          <a:r>
            <a:rPr lang="en-IE" sz="1100"/>
            <a:t>When inserting a new row in the chart below, make sure you use the format painter 1: Brush</a:t>
          </a:r>
          <a:r>
            <a:rPr lang="en-IE" sz="1100" baseline="0"/>
            <a:t> icon will pop up on the left of the row just inserted.</a:t>
          </a:r>
        </a:p>
        <a:p>
          <a:pPr algn="l"/>
          <a:r>
            <a:rPr lang="en-IE" sz="1100" baseline="0"/>
            <a:t>2: Click icon.</a:t>
          </a:r>
        </a:p>
        <a:p>
          <a:pPr algn="l"/>
          <a:r>
            <a:rPr lang="en-IE" sz="1100" baseline="0"/>
            <a:t>3: Select "Format same as above"</a:t>
          </a:r>
          <a:endParaRPr lang="en-IE" sz="1100"/>
        </a:p>
      </xdr:txBody>
    </xdr:sp>
    <xdr:clientData/>
  </xdr:twoCellAnchor>
  <xdr:twoCellAnchor>
    <xdr:from>
      <xdr:col>8</xdr:col>
      <xdr:colOff>171450</xdr:colOff>
      <xdr:row>37</xdr:row>
      <xdr:rowOff>133350</xdr:rowOff>
    </xdr:from>
    <xdr:to>
      <xdr:col>11</xdr:col>
      <xdr:colOff>276225</xdr:colOff>
      <xdr:row>43</xdr:row>
      <xdr:rowOff>276225</xdr:rowOff>
    </xdr:to>
    <xdr:sp macro="" textlink="">
      <xdr:nvSpPr>
        <xdr:cNvPr id="3" name="TextBox 2"/>
        <xdr:cNvSpPr txBox="1"/>
      </xdr:nvSpPr>
      <xdr:spPr>
        <a:xfrm>
          <a:off x="11210925" y="6429375"/>
          <a:ext cx="5133975" cy="1390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1600">
              <a:solidFill>
                <a:srgbClr val="FF0000"/>
              </a:solidFill>
            </a:rPr>
            <a:t>** WARNING ** </a:t>
          </a:r>
        </a:p>
        <a:p>
          <a:pPr algn="l"/>
          <a:endParaRPr lang="en-IE" sz="1100"/>
        </a:p>
        <a:p>
          <a:pPr algn="l"/>
          <a:endParaRPr lang="en-IE" sz="1100"/>
        </a:p>
        <a:p>
          <a:pPr algn="l"/>
          <a:r>
            <a:rPr lang="en-IE" sz="1100"/>
            <a:t>When inserting a new row in the chart below, make sure you use the format painter 1: Brush</a:t>
          </a:r>
          <a:r>
            <a:rPr lang="en-IE" sz="1100" baseline="0"/>
            <a:t> icon will pop up on the left of the row just inserted.</a:t>
          </a:r>
        </a:p>
        <a:p>
          <a:pPr algn="l"/>
          <a:r>
            <a:rPr lang="en-IE" sz="1100" baseline="0"/>
            <a:t>2: Click icon.</a:t>
          </a:r>
        </a:p>
        <a:p>
          <a:pPr algn="l"/>
          <a:r>
            <a:rPr lang="en-IE" sz="1100" baseline="0"/>
            <a:t>3: Select "Format same as above"</a:t>
          </a:r>
          <a:endParaRPr lang="en-IE" sz="1100"/>
        </a:p>
      </xdr:txBody>
    </xdr:sp>
    <xdr:clientData/>
  </xdr:twoCellAnchor>
  <xdr:twoCellAnchor>
    <xdr:from>
      <xdr:col>8</xdr:col>
      <xdr:colOff>171450</xdr:colOff>
      <xdr:row>37</xdr:row>
      <xdr:rowOff>133350</xdr:rowOff>
    </xdr:from>
    <xdr:to>
      <xdr:col>11</xdr:col>
      <xdr:colOff>276225</xdr:colOff>
      <xdr:row>43</xdr:row>
      <xdr:rowOff>276225</xdr:rowOff>
    </xdr:to>
    <xdr:sp macro="" textlink="">
      <xdr:nvSpPr>
        <xdr:cNvPr id="4" name="TextBox 3"/>
        <xdr:cNvSpPr txBox="1"/>
      </xdr:nvSpPr>
      <xdr:spPr>
        <a:xfrm>
          <a:off x="11210925" y="6429375"/>
          <a:ext cx="5133975" cy="1390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1600">
              <a:solidFill>
                <a:srgbClr val="FF0000"/>
              </a:solidFill>
            </a:rPr>
            <a:t>** WARNING ** </a:t>
          </a:r>
        </a:p>
        <a:p>
          <a:pPr algn="l"/>
          <a:endParaRPr lang="en-IE" sz="1100"/>
        </a:p>
        <a:p>
          <a:pPr algn="l"/>
          <a:endParaRPr lang="en-IE" sz="1100"/>
        </a:p>
        <a:p>
          <a:pPr algn="l"/>
          <a:r>
            <a:rPr lang="en-IE" sz="1100"/>
            <a:t>When inserting a new row in the chart below, make sure you use the format painter 1: Brush</a:t>
          </a:r>
          <a:r>
            <a:rPr lang="en-IE" sz="1100" baseline="0"/>
            <a:t> icon will pop up on the left of the row just inserted.</a:t>
          </a:r>
        </a:p>
        <a:p>
          <a:pPr algn="l"/>
          <a:r>
            <a:rPr lang="en-IE" sz="1100" baseline="0"/>
            <a:t>2: Click icon.</a:t>
          </a:r>
        </a:p>
        <a:p>
          <a:pPr algn="l"/>
          <a:r>
            <a:rPr lang="en-IE" sz="1100" baseline="0"/>
            <a:t>3: Select "Format same as above"</a:t>
          </a:r>
          <a:endParaRPr lang="en-IE" sz="1100"/>
        </a:p>
      </xdr:txBody>
    </xdr:sp>
    <xdr:clientData/>
  </xdr:twoCellAnchor>
  <xdr:twoCellAnchor>
    <xdr:from>
      <xdr:col>8</xdr:col>
      <xdr:colOff>171450</xdr:colOff>
      <xdr:row>37</xdr:row>
      <xdr:rowOff>133350</xdr:rowOff>
    </xdr:from>
    <xdr:to>
      <xdr:col>11</xdr:col>
      <xdr:colOff>276225</xdr:colOff>
      <xdr:row>43</xdr:row>
      <xdr:rowOff>276225</xdr:rowOff>
    </xdr:to>
    <xdr:sp macro="" textlink="">
      <xdr:nvSpPr>
        <xdr:cNvPr id="5" name="TextBox 4"/>
        <xdr:cNvSpPr txBox="1"/>
      </xdr:nvSpPr>
      <xdr:spPr>
        <a:xfrm>
          <a:off x="11210925" y="6286500"/>
          <a:ext cx="5133975" cy="1390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1600">
              <a:solidFill>
                <a:srgbClr val="FF0000"/>
              </a:solidFill>
            </a:rPr>
            <a:t>** WARNING ** </a:t>
          </a:r>
        </a:p>
        <a:p>
          <a:pPr algn="l"/>
          <a:endParaRPr lang="en-IE" sz="1100"/>
        </a:p>
        <a:p>
          <a:pPr algn="l"/>
          <a:endParaRPr lang="en-IE" sz="1100"/>
        </a:p>
        <a:p>
          <a:pPr algn="l"/>
          <a:r>
            <a:rPr lang="en-IE" sz="1100"/>
            <a:t>When inserting a new row in the chart below, make sure you use the format painter 1: Brush</a:t>
          </a:r>
          <a:r>
            <a:rPr lang="en-IE" sz="1100" baseline="0"/>
            <a:t> icon will pop up on the left of the row just inserted.</a:t>
          </a:r>
        </a:p>
        <a:p>
          <a:pPr algn="l"/>
          <a:r>
            <a:rPr lang="en-IE" sz="1100" baseline="0"/>
            <a:t>2: Click icon.</a:t>
          </a:r>
        </a:p>
        <a:p>
          <a:pPr algn="l"/>
          <a:r>
            <a:rPr lang="en-IE" sz="1100" baseline="0"/>
            <a:t>3: Select "Format same as above"</a:t>
          </a:r>
          <a:endParaRPr lang="en-IE" sz="1100"/>
        </a:p>
      </xdr:txBody>
    </xdr:sp>
    <xdr:clientData/>
  </xdr:twoCellAnchor>
  <xdr:twoCellAnchor>
    <xdr:from>
      <xdr:col>8</xdr:col>
      <xdr:colOff>171450</xdr:colOff>
      <xdr:row>37</xdr:row>
      <xdr:rowOff>133350</xdr:rowOff>
    </xdr:from>
    <xdr:to>
      <xdr:col>11</xdr:col>
      <xdr:colOff>276225</xdr:colOff>
      <xdr:row>43</xdr:row>
      <xdr:rowOff>276225</xdr:rowOff>
    </xdr:to>
    <xdr:sp macro="" textlink="">
      <xdr:nvSpPr>
        <xdr:cNvPr id="6" name="TextBox 5"/>
        <xdr:cNvSpPr txBox="1"/>
      </xdr:nvSpPr>
      <xdr:spPr>
        <a:xfrm>
          <a:off x="11210925" y="6286500"/>
          <a:ext cx="5133975" cy="1390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1600">
              <a:solidFill>
                <a:srgbClr val="FF0000"/>
              </a:solidFill>
            </a:rPr>
            <a:t>** WARNING ** </a:t>
          </a:r>
        </a:p>
        <a:p>
          <a:pPr algn="l"/>
          <a:endParaRPr lang="en-IE" sz="1100"/>
        </a:p>
        <a:p>
          <a:pPr algn="l"/>
          <a:endParaRPr lang="en-IE" sz="1100"/>
        </a:p>
        <a:p>
          <a:pPr algn="l"/>
          <a:r>
            <a:rPr lang="en-IE" sz="1100"/>
            <a:t>When inserting a new row in the chart below, make sure you use the format painter 1: Brush</a:t>
          </a:r>
          <a:r>
            <a:rPr lang="en-IE" sz="1100" baseline="0"/>
            <a:t> icon will pop up on the left of the row just inserted.</a:t>
          </a:r>
        </a:p>
        <a:p>
          <a:pPr algn="l"/>
          <a:r>
            <a:rPr lang="en-IE" sz="1100" baseline="0"/>
            <a:t>2: Click icon.</a:t>
          </a:r>
        </a:p>
        <a:p>
          <a:pPr algn="l"/>
          <a:r>
            <a:rPr lang="en-IE" sz="1100" baseline="0"/>
            <a:t>3: Select "Format same as above"</a:t>
          </a:r>
          <a:endParaRPr lang="en-IE"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E1"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E1"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4"/>
  <sheetViews>
    <sheetView zoomScaleNormal="100" workbookViewId="0">
      <selection activeCell="G23" sqref="G23"/>
    </sheetView>
  </sheetViews>
  <sheetFormatPr defaultRowHeight="12.75" x14ac:dyDescent="0.2"/>
  <cols>
    <col min="1" max="1" width="6.85546875" bestFit="1" customWidth="1"/>
    <col min="2" max="2" width="6.28515625" bestFit="1" customWidth="1"/>
    <col min="3" max="3" width="9" bestFit="1" customWidth="1"/>
    <col min="4" max="4" width="10.42578125" bestFit="1" customWidth="1"/>
  </cols>
  <sheetData>
    <row r="1" spans="1:4" x14ac:dyDescent="0.2">
      <c r="A1" s="2" t="s">
        <v>16</v>
      </c>
      <c r="B1" s="2" t="s">
        <v>17</v>
      </c>
      <c r="C1" s="2" t="s">
        <v>18</v>
      </c>
      <c r="D1" s="3" t="s">
        <v>15</v>
      </c>
    </row>
    <row r="2" spans="1:4" x14ac:dyDescent="0.2">
      <c r="A2" s="4">
        <v>0.01</v>
      </c>
      <c r="B2" s="1" t="s">
        <v>19</v>
      </c>
      <c r="C2" s="1">
        <v>70262</v>
      </c>
      <c r="D2" s="5">
        <v>42698</v>
      </c>
    </row>
    <row r="3" spans="1:4" x14ac:dyDescent="0.2">
      <c r="A3" s="4"/>
      <c r="B3" s="1"/>
      <c r="C3" s="1"/>
      <c r="D3" s="5"/>
    </row>
    <row r="8" spans="1:4" ht="28.5" customHeight="1" x14ac:dyDescent="0.2"/>
    <row r="14" spans="1:4" ht="13.5" customHeight="1" x14ac:dyDescent="0.2"/>
  </sheetData>
  <phoneticPr fontId="15"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7"/>
  <sheetViews>
    <sheetView workbookViewId="0">
      <selection sqref="A1:D6"/>
    </sheetView>
  </sheetViews>
  <sheetFormatPr defaultRowHeight="12.75" x14ac:dyDescent="0.2"/>
  <cols>
    <col min="1" max="4" width="31.42578125" customWidth="1"/>
  </cols>
  <sheetData>
    <row r="1" spans="1:4" x14ac:dyDescent="0.2">
      <c r="A1" s="2" t="s">
        <v>23</v>
      </c>
      <c r="B1" s="2" t="s">
        <v>24</v>
      </c>
      <c r="C1" s="2" t="s">
        <v>25</v>
      </c>
      <c r="D1" s="2" t="s">
        <v>26</v>
      </c>
    </row>
    <row r="2" spans="1:4" x14ac:dyDescent="0.2">
      <c r="A2" s="1"/>
      <c r="B2" s="1"/>
      <c r="C2" s="1"/>
      <c r="D2" s="1"/>
    </row>
    <row r="3" spans="1:4" x14ac:dyDescent="0.2">
      <c r="A3" s="1"/>
      <c r="B3" s="1"/>
      <c r="C3" s="1"/>
      <c r="D3" s="1"/>
    </row>
    <row r="4" spans="1:4" x14ac:dyDescent="0.2">
      <c r="A4" s="1"/>
      <c r="B4" s="1"/>
      <c r="C4" s="1"/>
      <c r="D4" s="1"/>
    </row>
    <row r="5" spans="1:4" x14ac:dyDescent="0.2">
      <c r="A5" s="1"/>
      <c r="B5" s="1"/>
      <c r="C5" s="1"/>
      <c r="D5" s="1"/>
    </row>
    <row r="6" spans="1:4" x14ac:dyDescent="0.2">
      <c r="A6" s="1"/>
      <c r="B6" s="1"/>
      <c r="C6" s="1"/>
      <c r="D6" s="1"/>
    </row>
    <row r="7" spans="1:4" x14ac:dyDescent="0.2">
      <c r="A7" s="1"/>
      <c r="B7" s="1"/>
      <c r="C7" s="1"/>
      <c r="D7" s="1"/>
    </row>
  </sheetData>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5"/>
  <sheetViews>
    <sheetView workbookViewId="0">
      <selection sqref="A1:B2"/>
    </sheetView>
  </sheetViews>
  <sheetFormatPr defaultRowHeight="12.75" x14ac:dyDescent="0.2"/>
  <cols>
    <col min="3" max="3" width="68.5703125" customWidth="1"/>
  </cols>
  <sheetData>
    <row r="1" spans="1:3" ht="12.75" customHeight="1" x14ac:dyDescent="0.2">
      <c r="A1" s="109"/>
      <c r="B1" s="110"/>
      <c r="C1" s="113" t="s">
        <v>27</v>
      </c>
    </row>
    <row r="2" spans="1:3" ht="13.5" customHeight="1" thickBot="1" x14ac:dyDescent="0.25">
      <c r="A2" s="111"/>
      <c r="B2" s="112"/>
      <c r="C2" s="114"/>
    </row>
    <row r="3" spans="1:3" ht="12.75" customHeight="1" x14ac:dyDescent="0.2">
      <c r="A3" s="115"/>
      <c r="B3" s="116"/>
      <c r="C3" s="6"/>
    </row>
    <row r="4" spans="1:3" ht="12.75" customHeight="1" x14ac:dyDescent="0.2">
      <c r="A4" s="117"/>
      <c r="B4" s="118"/>
      <c r="C4" s="7" t="s">
        <v>124</v>
      </c>
    </row>
    <row r="5" spans="1:3" ht="12.75" customHeight="1" x14ac:dyDescent="0.2">
      <c r="A5" s="117"/>
      <c r="B5" s="118"/>
      <c r="C5" s="7"/>
    </row>
    <row r="6" spans="1:3" ht="12.75" customHeight="1" x14ac:dyDescent="0.2">
      <c r="A6" s="117"/>
      <c r="B6" s="118"/>
      <c r="C6" s="7"/>
    </row>
    <row r="7" spans="1:3" ht="12.75" customHeight="1" x14ac:dyDescent="0.2">
      <c r="A7" s="117"/>
      <c r="B7" s="118"/>
      <c r="C7" s="8"/>
    </row>
    <row r="8" spans="1:3" ht="12.75" customHeight="1" x14ac:dyDescent="0.2">
      <c r="A8" s="117"/>
      <c r="B8" s="118"/>
      <c r="C8" s="8"/>
    </row>
    <row r="9" spans="1:3" ht="12.75" customHeight="1" x14ac:dyDescent="0.2">
      <c r="A9" s="117"/>
      <c r="B9" s="118"/>
      <c r="C9" s="7"/>
    </row>
    <row r="10" spans="1:3" ht="12.75" customHeight="1" x14ac:dyDescent="0.2">
      <c r="A10" s="117"/>
      <c r="B10" s="118"/>
      <c r="C10" s="9"/>
    </row>
    <row r="11" spans="1:3" ht="12.75" customHeight="1" x14ac:dyDescent="0.2">
      <c r="A11" s="117"/>
      <c r="B11" s="118"/>
      <c r="C11" s="9"/>
    </row>
    <row r="12" spans="1:3" ht="12.75" customHeight="1" x14ac:dyDescent="0.2">
      <c r="A12" s="117"/>
      <c r="B12" s="118"/>
      <c r="C12" s="9"/>
    </row>
    <row r="13" spans="1:3" ht="12.75" customHeight="1" x14ac:dyDescent="0.2">
      <c r="A13" s="117"/>
      <c r="B13" s="118"/>
      <c r="C13" s="9"/>
    </row>
    <row r="14" spans="1:3" ht="12.75" customHeight="1" x14ac:dyDescent="0.2">
      <c r="A14" s="117"/>
      <c r="B14" s="118"/>
      <c r="C14" s="9"/>
    </row>
    <row r="15" spans="1:3" ht="13.5" customHeight="1" thickBot="1" x14ac:dyDescent="0.25">
      <c r="A15" s="119"/>
      <c r="B15" s="120"/>
      <c r="C15" s="10"/>
    </row>
  </sheetData>
  <mergeCells count="3">
    <mergeCell ref="A1:B2"/>
    <mergeCell ref="C1:C2"/>
    <mergeCell ref="A3:B15"/>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8"/>
  <sheetViews>
    <sheetView workbookViewId="0"/>
  </sheetViews>
  <sheetFormatPr defaultColWidth="32.28515625" defaultRowHeight="12.75" x14ac:dyDescent="0.2"/>
  <cols>
    <col min="1" max="1" width="36.140625" bestFit="1" customWidth="1"/>
    <col min="3" max="3" width="25" bestFit="1" customWidth="1"/>
    <col min="4" max="4" width="36.85546875" customWidth="1"/>
  </cols>
  <sheetData>
    <row r="1" spans="1:6" x14ac:dyDescent="0.2">
      <c r="A1" t="s">
        <v>36</v>
      </c>
    </row>
    <row r="2" spans="1:6" ht="15" x14ac:dyDescent="0.25">
      <c r="A2" s="14" t="s">
        <v>29</v>
      </c>
      <c r="B2" s="15" t="s">
        <v>30</v>
      </c>
      <c r="C2" s="23" t="s">
        <v>40</v>
      </c>
      <c r="D2" s="15" t="s">
        <v>31</v>
      </c>
      <c r="E2" s="14" t="s">
        <v>32</v>
      </c>
      <c r="F2" s="11"/>
    </row>
    <row r="3" spans="1:6" x14ac:dyDescent="0.2">
      <c r="A3" s="69" t="s">
        <v>111</v>
      </c>
      <c r="B3" s="70">
        <v>71195</v>
      </c>
      <c r="C3" s="71"/>
      <c r="D3" s="72" t="s">
        <v>28</v>
      </c>
      <c r="E3" s="73" t="s">
        <v>112</v>
      </c>
      <c r="F3" s="74"/>
    </row>
    <row r="4" spans="1:6" x14ac:dyDescent="0.2">
      <c r="A4" s="69" t="s">
        <v>113</v>
      </c>
      <c r="B4" s="70">
        <v>42070</v>
      </c>
      <c r="C4" s="71"/>
      <c r="D4" s="72" t="s">
        <v>28</v>
      </c>
      <c r="E4" s="73" t="s">
        <v>112</v>
      </c>
      <c r="F4" s="74"/>
    </row>
    <row r="5" spans="1:6" x14ac:dyDescent="0.2">
      <c r="A5" s="69" t="s">
        <v>114</v>
      </c>
      <c r="B5" s="70">
        <v>157257</v>
      </c>
      <c r="C5" s="71"/>
      <c r="D5" s="72" t="s">
        <v>28</v>
      </c>
      <c r="E5" s="73" t="s">
        <v>112</v>
      </c>
      <c r="F5" s="71"/>
    </row>
    <row r="6" spans="1:6" x14ac:dyDescent="0.2">
      <c r="A6" s="69" t="s">
        <v>115</v>
      </c>
      <c r="B6" s="75">
        <v>112135</v>
      </c>
      <c r="C6" s="71"/>
      <c r="D6" s="72" t="s">
        <v>28</v>
      </c>
      <c r="E6" s="73" t="s">
        <v>116</v>
      </c>
      <c r="F6" s="74"/>
    </row>
    <row r="7" spans="1:6" x14ac:dyDescent="0.2">
      <c r="A7" s="69" t="s">
        <v>117</v>
      </c>
      <c r="B7" s="70">
        <v>3873</v>
      </c>
      <c r="C7" s="71"/>
      <c r="D7" s="72" t="s">
        <v>28</v>
      </c>
      <c r="E7" s="73" t="s">
        <v>112</v>
      </c>
      <c r="F7" s="74"/>
    </row>
    <row r="8" spans="1:6" x14ac:dyDescent="0.2">
      <c r="A8" s="69" t="s">
        <v>118</v>
      </c>
      <c r="B8" s="70">
        <v>23913</v>
      </c>
      <c r="C8" s="71"/>
      <c r="D8" s="72" t="s">
        <v>28</v>
      </c>
      <c r="E8" s="73" t="s">
        <v>112</v>
      </c>
      <c r="F8" s="74"/>
    </row>
    <row r="9" spans="1:6" x14ac:dyDescent="0.2">
      <c r="A9" s="69" t="s">
        <v>119</v>
      </c>
      <c r="B9" s="75">
        <v>431942</v>
      </c>
      <c r="C9" s="71"/>
      <c r="D9" s="72" t="s">
        <v>28</v>
      </c>
      <c r="E9" s="73" t="s">
        <v>116</v>
      </c>
      <c r="F9" s="74"/>
    </row>
    <row r="10" spans="1:6" x14ac:dyDescent="0.2">
      <c r="A10" s="69" t="s">
        <v>120</v>
      </c>
      <c r="B10" s="70">
        <v>902317</v>
      </c>
      <c r="C10" s="71"/>
      <c r="D10" s="72" t="s">
        <v>28</v>
      </c>
      <c r="E10" s="73" t="s">
        <v>112</v>
      </c>
      <c r="F10" s="71"/>
    </row>
    <row r="11" spans="1:6" x14ac:dyDescent="0.2">
      <c r="A11" s="69" t="s">
        <v>121</v>
      </c>
      <c r="B11" s="75">
        <v>5657</v>
      </c>
      <c r="C11" s="71"/>
      <c r="D11" s="72" t="s">
        <v>28</v>
      </c>
      <c r="E11" s="73" t="s">
        <v>116</v>
      </c>
      <c r="F11" s="71"/>
    </row>
    <row r="12" spans="1:6" hidden="1" x14ac:dyDescent="0.2">
      <c r="A12" s="69" t="s">
        <v>122</v>
      </c>
      <c r="B12" s="76"/>
      <c r="C12" s="71"/>
      <c r="D12" s="72" t="s">
        <v>28</v>
      </c>
      <c r="E12" s="73" t="s">
        <v>123</v>
      </c>
      <c r="F12" s="74"/>
    </row>
    <row r="13" spans="1:6" hidden="1" x14ac:dyDescent="0.2">
      <c r="A13" s="69"/>
      <c r="B13" s="76"/>
      <c r="C13" s="71"/>
      <c r="D13" s="72" t="s">
        <v>28</v>
      </c>
      <c r="E13" s="73"/>
      <c r="F13" s="74"/>
    </row>
    <row r="14" spans="1:6" ht="30" hidden="1" x14ac:dyDescent="0.2">
      <c r="A14" s="20" t="s">
        <v>35</v>
      </c>
      <c r="B14" s="21" t="s">
        <v>37</v>
      </c>
      <c r="C14" s="22">
        <v>1020191</v>
      </c>
      <c r="D14" s="21" t="s">
        <v>33</v>
      </c>
      <c r="E14" s="20" t="s">
        <v>34</v>
      </c>
    </row>
    <row r="15" spans="1:6" ht="30" hidden="1" x14ac:dyDescent="0.25">
      <c r="A15" s="16" t="s">
        <v>38</v>
      </c>
      <c r="B15" s="17" t="s">
        <v>39</v>
      </c>
      <c r="C15" s="17"/>
      <c r="D15" s="18"/>
      <c r="E15" s="19"/>
    </row>
    <row r="16" spans="1:6" ht="15" x14ac:dyDescent="0.25">
      <c r="A16" s="12"/>
      <c r="B16" s="13"/>
      <c r="C16" s="13"/>
      <c r="D16" s="13"/>
      <c r="E16" s="12"/>
    </row>
    <row r="17" spans="1:5" ht="15" x14ac:dyDescent="0.25">
      <c r="A17" s="12"/>
      <c r="B17" s="13"/>
      <c r="C17" s="13"/>
      <c r="D17" s="13"/>
      <c r="E17" s="12"/>
    </row>
    <row r="18" spans="1:5" ht="15" x14ac:dyDescent="0.25">
      <c r="A18" s="12"/>
      <c r="B18" s="13"/>
      <c r="C18" s="13"/>
      <c r="D18" s="13"/>
      <c r="E18" s="12"/>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183"/>
  <sheetViews>
    <sheetView tabSelected="1" topLeftCell="A7" zoomScaleNormal="100" workbookViewId="0">
      <selection activeCell="D28" sqref="D28:G28"/>
    </sheetView>
  </sheetViews>
  <sheetFormatPr defaultRowHeight="15" x14ac:dyDescent="0.25"/>
  <cols>
    <col min="1" max="1" width="17.42578125" style="25" customWidth="1"/>
    <col min="2" max="2" width="13.7109375" style="25" customWidth="1"/>
    <col min="3" max="3" width="64.5703125" style="25" customWidth="1"/>
    <col min="4" max="4" width="11.140625" style="25" bestFit="1" customWidth="1"/>
    <col min="5" max="5" width="23.85546875" style="25" customWidth="1"/>
    <col min="6" max="6" width="20.5703125" style="25" bestFit="1" customWidth="1"/>
    <col min="7" max="8" width="20.7109375" style="25" customWidth="1"/>
    <col min="9" max="9" width="13.7109375" style="25" customWidth="1"/>
    <col min="10" max="10" width="38.85546875" style="25" customWidth="1"/>
    <col min="11" max="11" width="22.85546875" style="25" customWidth="1"/>
    <col min="12" max="12" width="19.140625" style="36" customWidth="1"/>
    <col min="13" max="13" width="26.42578125" style="25" bestFit="1" customWidth="1"/>
    <col min="14" max="15" width="20.5703125" style="25" customWidth="1"/>
    <col min="16" max="16" width="69.5703125" style="25" customWidth="1"/>
    <col min="17" max="17" width="30.28515625" style="25" customWidth="1"/>
    <col min="18" max="18" width="18.7109375" style="25" customWidth="1"/>
    <col min="19" max="19" width="17.140625" style="25" customWidth="1"/>
    <col min="20" max="20" width="26" style="25" customWidth="1"/>
    <col min="21" max="21" width="34" style="25" customWidth="1"/>
    <col min="22" max="22" width="16.5703125" style="25" bestFit="1" customWidth="1"/>
    <col min="23" max="23" width="40.42578125" style="25" customWidth="1"/>
    <col min="24" max="24" width="22.42578125" style="25" customWidth="1"/>
    <col min="25" max="25" width="18" style="25" customWidth="1"/>
    <col min="26" max="26" width="30.5703125" style="25" customWidth="1"/>
    <col min="27" max="30" width="9.140625" style="25"/>
    <col min="31" max="31" width="8.85546875" style="25" bestFit="1" customWidth="1"/>
    <col min="32" max="16384" width="9.140625" style="25"/>
  </cols>
  <sheetData>
    <row r="1" spans="1:45" ht="15.75" customHeight="1" x14ac:dyDescent="0.25">
      <c r="A1" s="60" t="s">
        <v>86</v>
      </c>
      <c r="B1" s="45"/>
      <c r="C1" s="55" t="s">
        <v>52</v>
      </c>
      <c r="D1" s="121" t="s">
        <v>125</v>
      </c>
      <c r="E1" s="122"/>
      <c r="F1" s="122"/>
      <c r="G1" s="123"/>
      <c r="H1" s="106"/>
      <c r="I1" s="37"/>
      <c r="J1" s="37"/>
      <c r="K1" s="37"/>
      <c r="L1" s="37"/>
      <c r="M1" s="37"/>
      <c r="N1" s="37"/>
      <c r="O1" s="37"/>
      <c r="P1" s="37"/>
      <c r="Q1" s="37"/>
      <c r="R1" s="37"/>
      <c r="S1" s="37"/>
      <c r="T1" s="37"/>
      <c r="U1" s="37"/>
      <c r="V1" s="37"/>
      <c r="W1" s="37"/>
      <c r="X1" s="49"/>
      <c r="Y1" s="49"/>
      <c r="Z1" s="49"/>
      <c r="AA1" s="49"/>
      <c r="AB1" s="49"/>
      <c r="AC1" s="49"/>
      <c r="AD1" s="49"/>
      <c r="AE1" s="49"/>
      <c r="AF1" s="49"/>
      <c r="AG1" s="49"/>
      <c r="AH1" s="49"/>
      <c r="AI1" s="49"/>
      <c r="AJ1" s="49"/>
      <c r="AK1" s="49"/>
      <c r="AL1" s="49"/>
      <c r="AM1" s="49"/>
      <c r="AN1" s="49"/>
      <c r="AO1" s="49"/>
      <c r="AP1" s="49"/>
      <c r="AQ1" s="49"/>
      <c r="AR1" s="49"/>
      <c r="AS1" s="49"/>
    </row>
    <row r="2" spans="1:45" x14ac:dyDescent="0.25">
      <c r="A2" s="45"/>
      <c r="B2" s="45"/>
      <c r="C2" s="55" t="s">
        <v>53</v>
      </c>
      <c r="D2" s="121" t="s">
        <v>126</v>
      </c>
      <c r="E2" s="122"/>
      <c r="F2" s="122"/>
      <c r="G2" s="123"/>
      <c r="H2" s="106"/>
      <c r="I2" s="37"/>
      <c r="J2" s="37"/>
      <c r="K2" s="37"/>
      <c r="L2" s="37"/>
      <c r="M2" s="37"/>
      <c r="N2" s="37"/>
      <c r="O2" s="37"/>
      <c r="P2" s="37"/>
      <c r="Q2" s="37"/>
      <c r="R2" s="37"/>
      <c r="S2" s="37"/>
      <c r="T2" s="37"/>
      <c r="U2" s="37"/>
      <c r="V2" s="37"/>
      <c r="W2" s="37"/>
      <c r="X2" s="49"/>
      <c r="Y2" s="49"/>
      <c r="Z2" s="49"/>
      <c r="AA2" s="49"/>
      <c r="AB2" s="49"/>
      <c r="AC2" s="49"/>
      <c r="AD2" s="49"/>
      <c r="AE2" s="49"/>
      <c r="AF2" s="49"/>
      <c r="AG2" s="49"/>
      <c r="AH2" s="49"/>
      <c r="AI2" s="49"/>
      <c r="AJ2" s="49"/>
      <c r="AK2" s="49"/>
      <c r="AL2" s="49"/>
      <c r="AM2" s="49"/>
      <c r="AN2" s="49"/>
      <c r="AO2" s="49"/>
      <c r="AP2" s="49"/>
      <c r="AQ2" s="49"/>
      <c r="AR2" s="49"/>
      <c r="AS2" s="49"/>
    </row>
    <row r="3" spans="1:45" x14ac:dyDescent="0.25">
      <c r="A3" s="45"/>
      <c r="B3" s="45"/>
      <c r="C3" s="55" t="s">
        <v>54</v>
      </c>
      <c r="D3" s="121"/>
      <c r="E3" s="122"/>
      <c r="F3" s="122"/>
      <c r="G3" s="123"/>
      <c r="H3" s="106"/>
      <c r="I3" s="37"/>
      <c r="J3" s="37"/>
      <c r="K3" s="37"/>
      <c r="L3" s="37"/>
      <c r="M3" s="37"/>
      <c r="N3" s="37"/>
      <c r="O3" s="37"/>
      <c r="P3" s="37"/>
      <c r="Q3" s="37"/>
      <c r="R3" s="37"/>
      <c r="S3" s="37"/>
      <c r="T3" s="37"/>
      <c r="U3" s="37"/>
      <c r="V3" s="37"/>
      <c r="W3" s="37"/>
      <c r="X3" s="49"/>
      <c r="Y3" s="49"/>
      <c r="Z3" s="49"/>
      <c r="AA3" s="49"/>
      <c r="AB3" s="49"/>
      <c r="AC3" s="49"/>
      <c r="AD3" s="49"/>
      <c r="AE3" s="49"/>
      <c r="AF3" s="49"/>
      <c r="AG3" s="49"/>
      <c r="AH3" s="49"/>
      <c r="AI3" s="49"/>
      <c r="AJ3" s="49"/>
      <c r="AK3" s="49"/>
      <c r="AL3" s="49"/>
      <c r="AM3" s="49"/>
      <c r="AN3" s="49"/>
      <c r="AO3" s="49"/>
      <c r="AP3" s="49"/>
      <c r="AQ3" s="49"/>
      <c r="AR3" s="49"/>
      <c r="AS3" s="49"/>
    </row>
    <row r="4" spans="1:45" ht="15" customHeight="1" x14ac:dyDescent="0.25">
      <c r="A4" s="45"/>
      <c r="B4" s="45"/>
      <c r="C4" s="55" t="s">
        <v>55</v>
      </c>
      <c r="D4" s="121" t="s">
        <v>127</v>
      </c>
      <c r="E4" s="122"/>
      <c r="F4" s="122"/>
      <c r="G4" s="123"/>
      <c r="H4" s="106"/>
      <c r="I4" s="37"/>
      <c r="J4" s="37"/>
      <c r="K4" s="37"/>
      <c r="L4" s="37"/>
      <c r="M4" s="37"/>
      <c r="N4" s="37"/>
      <c r="O4" s="37"/>
      <c r="P4" s="37"/>
      <c r="Q4" s="37"/>
      <c r="R4" s="37"/>
      <c r="S4" s="37"/>
      <c r="T4" s="37"/>
      <c r="U4" s="37"/>
      <c r="V4" s="37"/>
      <c r="W4" s="37"/>
      <c r="X4" s="49"/>
      <c r="Y4" s="49"/>
      <c r="Z4" s="49"/>
      <c r="AA4" s="49"/>
      <c r="AB4" s="49"/>
      <c r="AC4" s="49"/>
      <c r="AD4" s="49"/>
      <c r="AE4" s="49"/>
      <c r="AF4" s="49"/>
      <c r="AG4" s="49"/>
      <c r="AH4" s="49"/>
      <c r="AI4" s="49"/>
      <c r="AJ4" s="49"/>
      <c r="AK4" s="49"/>
      <c r="AL4" s="49"/>
      <c r="AM4" s="49"/>
      <c r="AN4" s="49"/>
      <c r="AO4" s="49"/>
      <c r="AP4" s="49"/>
      <c r="AQ4" s="49"/>
      <c r="AR4" s="49"/>
      <c r="AS4" s="49"/>
    </row>
    <row r="5" spans="1:45" ht="15" customHeight="1" x14ac:dyDescent="0.25">
      <c r="A5" s="45"/>
      <c r="B5" s="45"/>
      <c r="C5" s="51" t="s">
        <v>56</v>
      </c>
      <c r="D5" s="121" t="s">
        <v>128</v>
      </c>
      <c r="E5" s="122"/>
      <c r="F5" s="122"/>
      <c r="G5" s="123"/>
      <c r="H5" s="106"/>
      <c r="I5" s="37"/>
      <c r="J5" s="38" t="s">
        <v>102</v>
      </c>
      <c r="K5" s="37"/>
      <c r="L5" s="37"/>
      <c r="M5" s="37"/>
      <c r="N5" s="37"/>
      <c r="O5" s="37"/>
      <c r="P5" s="37"/>
      <c r="Q5" s="37"/>
      <c r="R5" s="37"/>
      <c r="S5" s="37"/>
      <c r="T5" s="37"/>
      <c r="U5" s="37"/>
      <c r="V5" s="37"/>
      <c r="W5" s="37"/>
      <c r="X5" s="49"/>
      <c r="Y5" s="49"/>
      <c r="Z5" s="49"/>
      <c r="AA5" s="49"/>
      <c r="AB5" s="49"/>
      <c r="AC5" s="49"/>
      <c r="AD5" s="49"/>
      <c r="AE5" s="49"/>
      <c r="AF5" s="49"/>
      <c r="AG5" s="49"/>
      <c r="AH5" s="49"/>
      <c r="AI5" s="49"/>
      <c r="AJ5" s="49"/>
      <c r="AK5" s="49"/>
      <c r="AL5" s="49"/>
      <c r="AM5" s="49"/>
      <c r="AN5" s="49"/>
      <c r="AO5" s="49"/>
      <c r="AP5" s="49"/>
      <c r="AQ5" s="49"/>
      <c r="AR5" s="49"/>
      <c r="AS5" s="49"/>
    </row>
    <row r="6" spans="1:45" x14ac:dyDescent="0.25">
      <c r="A6" s="45"/>
      <c r="B6" s="45"/>
      <c r="C6" s="55" t="s">
        <v>57</v>
      </c>
      <c r="D6" s="121" t="s">
        <v>129</v>
      </c>
      <c r="E6" s="122"/>
      <c r="F6" s="122"/>
      <c r="G6" s="123"/>
      <c r="H6" s="106"/>
      <c r="I6" s="37"/>
      <c r="J6" s="37"/>
      <c r="K6" s="37"/>
      <c r="L6" s="37"/>
      <c r="M6" s="37"/>
      <c r="N6" s="37"/>
      <c r="O6" s="37"/>
      <c r="P6" s="37"/>
      <c r="Q6" s="37"/>
      <c r="R6" s="37"/>
      <c r="S6" s="37"/>
      <c r="T6" s="37"/>
      <c r="U6" s="37"/>
      <c r="V6" s="37"/>
      <c r="W6" s="37"/>
      <c r="X6" s="49"/>
      <c r="Y6" s="49"/>
      <c r="Z6" s="49"/>
      <c r="AA6" s="49"/>
      <c r="AB6" s="49"/>
      <c r="AC6" s="49"/>
      <c r="AD6" s="49"/>
      <c r="AE6" s="49"/>
      <c r="AF6" s="49"/>
      <c r="AG6" s="49"/>
      <c r="AH6" s="49"/>
      <c r="AI6" s="49"/>
      <c r="AJ6" s="49"/>
      <c r="AK6" s="49"/>
      <c r="AL6" s="49"/>
      <c r="AM6" s="49"/>
      <c r="AN6" s="49"/>
      <c r="AO6" s="49"/>
      <c r="AP6" s="49"/>
      <c r="AQ6" s="49"/>
      <c r="AR6" s="49"/>
      <c r="AS6" s="49"/>
    </row>
    <row r="7" spans="1:45" x14ac:dyDescent="0.25">
      <c r="A7" s="45"/>
      <c r="B7" s="45"/>
      <c r="C7" s="55" t="s">
        <v>58</v>
      </c>
      <c r="D7" s="121" t="s">
        <v>130</v>
      </c>
      <c r="E7" s="122"/>
      <c r="F7" s="122"/>
      <c r="G7" s="123"/>
      <c r="H7" s="106"/>
      <c r="I7" s="37"/>
      <c r="J7" s="48"/>
      <c r="K7" s="37" t="s">
        <v>109</v>
      </c>
      <c r="L7" s="37"/>
      <c r="M7" s="37"/>
      <c r="N7" s="37"/>
      <c r="O7" s="37"/>
      <c r="P7" s="37"/>
      <c r="Q7" s="37"/>
      <c r="R7" s="37"/>
      <c r="S7" s="37"/>
      <c r="T7" s="37"/>
      <c r="U7" s="37"/>
      <c r="V7" s="37"/>
      <c r="W7" s="37"/>
      <c r="X7" s="49"/>
      <c r="Y7" s="49"/>
      <c r="Z7" s="49"/>
      <c r="AA7" s="49"/>
      <c r="AB7" s="49"/>
      <c r="AC7" s="49"/>
      <c r="AD7" s="49"/>
      <c r="AE7" s="49"/>
      <c r="AF7" s="49"/>
      <c r="AG7" s="49"/>
      <c r="AH7" s="49"/>
      <c r="AI7" s="49"/>
      <c r="AJ7" s="49"/>
      <c r="AK7" s="49"/>
      <c r="AL7" s="49"/>
      <c r="AM7" s="49"/>
      <c r="AN7" s="49"/>
      <c r="AO7" s="49"/>
      <c r="AP7" s="49"/>
      <c r="AQ7" s="49"/>
      <c r="AR7" s="49"/>
      <c r="AS7" s="49"/>
    </row>
    <row r="8" spans="1:45" ht="15" customHeight="1" x14ac:dyDescent="0.25">
      <c r="A8" s="45"/>
      <c r="B8" s="45"/>
      <c r="C8" s="46" t="s">
        <v>0</v>
      </c>
      <c r="D8" s="121" t="s">
        <v>131</v>
      </c>
      <c r="E8" s="122"/>
      <c r="F8" s="122"/>
      <c r="G8" s="123"/>
      <c r="H8" s="106"/>
      <c r="I8" s="37"/>
      <c r="J8" s="56"/>
      <c r="K8" s="37" t="s">
        <v>91</v>
      </c>
      <c r="L8" s="37"/>
      <c r="M8" s="37"/>
      <c r="N8" s="37"/>
      <c r="O8" s="37"/>
      <c r="P8" s="37"/>
      <c r="Q8" s="37"/>
      <c r="R8" s="37"/>
      <c r="S8" s="37"/>
      <c r="T8" s="37"/>
      <c r="U8" s="37"/>
      <c r="V8" s="37"/>
      <c r="W8" s="37"/>
      <c r="X8" s="49"/>
      <c r="Y8" s="49"/>
      <c r="Z8" s="49"/>
      <c r="AA8" s="49"/>
      <c r="AB8" s="49"/>
      <c r="AC8" s="49"/>
      <c r="AD8" s="49"/>
      <c r="AE8" s="49"/>
      <c r="AF8" s="49"/>
      <c r="AG8" s="49"/>
      <c r="AH8" s="49"/>
      <c r="AI8" s="49"/>
      <c r="AJ8" s="49"/>
      <c r="AK8" s="49"/>
      <c r="AL8" s="49"/>
      <c r="AM8" s="49"/>
      <c r="AN8" s="49"/>
      <c r="AO8" s="49"/>
      <c r="AP8" s="49"/>
      <c r="AQ8" s="49"/>
      <c r="AR8" s="49"/>
      <c r="AS8" s="49"/>
    </row>
    <row r="9" spans="1:45" ht="15" customHeight="1" x14ac:dyDescent="0.25">
      <c r="A9" s="45"/>
      <c r="B9" s="45"/>
      <c r="C9" s="47" t="s">
        <v>59</v>
      </c>
      <c r="D9" s="121" t="s">
        <v>132</v>
      </c>
      <c r="E9" s="122"/>
      <c r="F9" s="122"/>
      <c r="G9" s="123"/>
      <c r="H9" s="106"/>
      <c r="I9" s="37"/>
      <c r="J9" s="52"/>
      <c r="K9" s="37" t="s">
        <v>60</v>
      </c>
      <c r="L9" s="37"/>
      <c r="M9" s="37"/>
      <c r="N9" s="37"/>
      <c r="O9" s="37"/>
      <c r="P9" s="37"/>
      <c r="Q9" s="37"/>
      <c r="R9" s="37"/>
      <c r="S9" s="37"/>
      <c r="T9" s="37"/>
      <c r="U9" s="37"/>
      <c r="V9" s="37"/>
      <c r="W9" s="37"/>
      <c r="X9" s="49"/>
      <c r="Y9" s="49"/>
      <c r="Z9" s="49"/>
      <c r="AA9" s="49"/>
      <c r="AB9" s="49"/>
      <c r="AC9" s="49"/>
      <c r="AD9" s="49"/>
      <c r="AE9" s="49"/>
      <c r="AF9" s="49"/>
      <c r="AG9" s="49"/>
      <c r="AH9" s="49"/>
      <c r="AI9" s="49"/>
      <c r="AJ9" s="49"/>
      <c r="AK9" s="49"/>
      <c r="AL9" s="49"/>
      <c r="AM9" s="49"/>
      <c r="AN9" s="49"/>
      <c r="AO9" s="49"/>
      <c r="AP9" s="49"/>
      <c r="AQ9" s="49"/>
      <c r="AR9" s="49"/>
      <c r="AS9" s="49"/>
    </row>
    <row r="10" spans="1:45" ht="15" customHeight="1" x14ac:dyDescent="0.25">
      <c r="A10" s="45"/>
      <c r="B10" s="45"/>
      <c r="C10" s="47" t="s">
        <v>60</v>
      </c>
      <c r="D10" s="121" t="s">
        <v>133</v>
      </c>
      <c r="E10" s="122"/>
      <c r="F10" s="122"/>
      <c r="G10" s="123"/>
      <c r="H10" s="106"/>
      <c r="I10" s="37"/>
      <c r="J10" s="37"/>
      <c r="K10" s="37"/>
      <c r="L10" s="37"/>
      <c r="M10" s="37"/>
      <c r="N10" s="37"/>
      <c r="O10" s="37"/>
      <c r="P10" s="37"/>
      <c r="Q10" s="37"/>
      <c r="R10" s="37"/>
      <c r="S10" s="37"/>
      <c r="T10" s="37"/>
      <c r="U10" s="37"/>
      <c r="V10" s="37"/>
      <c r="W10" s="37"/>
      <c r="X10" s="49"/>
      <c r="Y10" s="49"/>
      <c r="Z10" s="49"/>
      <c r="AA10" s="49"/>
      <c r="AB10" s="49"/>
      <c r="AC10" s="49"/>
      <c r="AD10" s="49"/>
      <c r="AE10" s="49"/>
      <c r="AF10" s="49"/>
      <c r="AG10" s="49"/>
      <c r="AH10" s="49"/>
      <c r="AI10" s="49"/>
      <c r="AJ10" s="49"/>
      <c r="AK10" s="49"/>
      <c r="AL10" s="49"/>
      <c r="AM10" s="49"/>
      <c r="AN10" s="49"/>
      <c r="AO10" s="49"/>
      <c r="AP10" s="49"/>
      <c r="AQ10" s="49"/>
      <c r="AR10" s="49"/>
      <c r="AS10" s="49"/>
    </row>
    <row r="11" spans="1:45" ht="22.5" x14ac:dyDescent="0.25">
      <c r="A11" s="45"/>
      <c r="B11" s="45"/>
      <c r="C11" s="46" t="s">
        <v>61</v>
      </c>
      <c r="D11" s="121" t="s">
        <v>134</v>
      </c>
      <c r="E11" s="122"/>
      <c r="F11" s="122"/>
      <c r="G11" s="123"/>
      <c r="H11" s="106"/>
      <c r="I11" s="37"/>
      <c r="J11" s="37"/>
      <c r="K11" s="37"/>
      <c r="L11" s="37"/>
      <c r="M11" s="37"/>
      <c r="N11" s="37"/>
      <c r="O11" s="37"/>
      <c r="P11" s="37"/>
      <c r="Q11" s="37"/>
      <c r="R11" s="37"/>
      <c r="S11" s="37"/>
      <c r="T11" s="37"/>
      <c r="U11" s="37"/>
      <c r="V11" s="37"/>
      <c r="W11" s="37"/>
      <c r="X11" s="49"/>
      <c r="Y11" s="49"/>
      <c r="Z11" s="49"/>
      <c r="AA11" s="49"/>
      <c r="AB11" s="49"/>
      <c r="AC11" s="49"/>
      <c r="AD11" s="49"/>
      <c r="AE11" s="49"/>
      <c r="AF11" s="49"/>
      <c r="AG11" s="49"/>
      <c r="AH11" s="49"/>
      <c r="AI11" s="49"/>
      <c r="AJ11" s="49"/>
      <c r="AK11" s="49"/>
      <c r="AL11" s="49"/>
      <c r="AM11" s="49"/>
      <c r="AN11" s="49"/>
      <c r="AO11" s="49"/>
      <c r="AP11" s="49"/>
      <c r="AQ11" s="49"/>
      <c r="AR11" s="49"/>
      <c r="AS11" s="49"/>
    </row>
    <row r="12" spans="1:45" x14ac:dyDescent="0.25">
      <c r="A12" s="40"/>
      <c r="B12" s="40"/>
      <c r="C12" s="65" t="s">
        <v>1</v>
      </c>
      <c r="D12" s="121"/>
      <c r="E12" s="122"/>
      <c r="F12" s="122"/>
      <c r="G12" s="123"/>
      <c r="H12" s="106"/>
      <c r="I12" s="37"/>
      <c r="J12" s="37"/>
      <c r="K12" s="37"/>
      <c r="L12" s="37"/>
      <c r="M12" s="37"/>
      <c r="N12" s="37"/>
      <c r="O12" s="37"/>
      <c r="P12" s="37"/>
      <c r="Q12" s="37"/>
      <c r="R12" s="37"/>
      <c r="S12" s="37"/>
      <c r="T12" s="37"/>
      <c r="U12" s="37"/>
      <c r="V12" s="37"/>
      <c r="W12" s="37"/>
      <c r="X12" s="49"/>
      <c r="Y12" s="49"/>
      <c r="Z12" s="49"/>
      <c r="AA12" s="49"/>
      <c r="AB12" s="49"/>
      <c r="AC12" s="49"/>
      <c r="AD12" s="49"/>
      <c r="AE12" s="49"/>
      <c r="AF12" s="49"/>
      <c r="AG12" s="49"/>
      <c r="AH12" s="49"/>
      <c r="AI12" s="49"/>
      <c r="AJ12" s="49"/>
      <c r="AK12" s="49"/>
      <c r="AL12" s="49"/>
      <c r="AM12" s="49"/>
      <c r="AN12" s="49"/>
      <c r="AO12" s="49"/>
      <c r="AP12" s="49"/>
      <c r="AQ12" s="49"/>
      <c r="AR12" s="49"/>
      <c r="AS12" s="49"/>
    </row>
    <row r="13" spans="1:45" x14ac:dyDescent="0.25">
      <c r="A13" s="45"/>
      <c r="B13" s="45"/>
      <c r="C13" s="55" t="s">
        <v>2</v>
      </c>
      <c r="D13" s="121"/>
      <c r="E13" s="122"/>
      <c r="F13" s="122"/>
      <c r="G13" s="123"/>
      <c r="H13" s="106"/>
      <c r="I13" s="37"/>
      <c r="J13" s="37"/>
      <c r="K13" s="37"/>
      <c r="L13" s="37"/>
      <c r="M13" s="37"/>
      <c r="N13" s="37"/>
      <c r="O13" s="37"/>
      <c r="P13" s="37"/>
      <c r="Q13" s="37"/>
      <c r="R13" s="37"/>
      <c r="S13" s="37"/>
      <c r="T13" s="37"/>
      <c r="U13" s="37"/>
      <c r="V13" s="37"/>
      <c r="W13" s="37"/>
      <c r="X13" s="49"/>
      <c r="Y13" s="49"/>
      <c r="Z13" s="49"/>
      <c r="AA13" s="49"/>
      <c r="AB13" s="49"/>
      <c r="AC13" s="49"/>
      <c r="AD13" s="49"/>
      <c r="AE13" s="49"/>
      <c r="AF13" s="49"/>
      <c r="AG13" s="49"/>
      <c r="AH13" s="49"/>
      <c r="AI13" s="49"/>
      <c r="AJ13" s="49"/>
      <c r="AK13" s="49"/>
      <c r="AL13" s="49"/>
      <c r="AM13" s="49"/>
      <c r="AN13" s="49"/>
      <c r="AO13" s="49"/>
      <c r="AP13" s="49"/>
      <c r="AQ13" s="49"/>
      <c r="AR13" s="49"/>
      <c r="AS13" s="49"/>
    </row>
    <row r="14" spans="1:45" x14ac:dyDescent="0.25">
      <c r="A14" s="45"/>
      <c r="B14" s="45"/>
      <c r="C14" s="66" t="s">
        <v>3</v>
      </c>
      <c r="D14" s="121"/>
      <c r="E14" s="122"/>
      <c r="F14" s="122"/>
      <c r="G14" s="123"/>
      <c r="H14" s="106"/>
      <c r="I14" s="37"/>
      <c r="J14" s="37"/>
      <c r="K14" s="37"/>
      <c r="L14" s="37"/>
      <c r="M14" s="37"/>
      <c r="N14" s="37"/>
      <c r="O14" s="37"/>
      <c r="P14" s="37"/>
      <c r="Q14" s="37"/>
      <c r="R14" s="37"/>
      <c r="S14" s="37"/>
      <c r="T14" s="37"/>
      <c r="U14" s="37"/>
      <c r="V14" s="37"/>
      <c r="W14" s="37"/>
      <c r="X14" s="49"/>
      <c r="Y14" s="49"/>
      <c r="Z14" s="49"/>
      <c r="AA14" s="49"/>
      <c r="AB14" s="49"/>
      <c r="AC14" s="49"/>
      <c r="AD14" s="49"/>
      <c r="AE14" s="49"/>
      <c r="AF14" s="49"/>
      <c r="AG14" s="49"/>
      <c r="AH14" s="49"/>
      <c r="AI14" s="49"/>
      <c r="AJ14" s="49"/>
      <c r="AK14" s="49"/>
      <c r="AL14" s="49"/>
      <c r="AM14" s="49"/>
      <c r="AN14" s="49"/>
      <c r="AO14" s="49"/>
      <c r="AP14" s="49"/>
      <c r="AQ14" s="49"/>
      <c r="AR14" s="49"/>
      <c r="AS14" s="49"/>
    </row>
    <row r="15" spans="1:45" x14ac:dyDescent="0.25">
      <c r="A15" s="45"/>
      <c r="B15" s="45"/>
      <c r="C15" s="55" t="s">
        <v>4</v>
      </c>
      <c r="D15" s="121"/>
      <c r="E15" s="122"/>
      <c r="F15" s="122"/>
      <c r="G15" s="123"/>
      <c r="H15" s="106"/>
      <c r="I15" s="37"/>
      <c r="J15" s="37"/>
      <c r="K15" s="37"/>
      <c r="L15" s="37"/>
      <c r="M15" s="37"/>
      <c r="N15" s="37"/>
      <c r="O15" s="37"/>
      <c r="P15" s="37"/>
      <c r="Q15" s="37"/>
      <c r="R15" s="37"/>
      <c r="S15" s="37"/>
      <c r="T15" s="37"/>
      <c r="U15" s="37"/>
      <c r="V15" s="37"/>
      <c r="W15" s="37"/>
      <c r="X15" s="49"/>
      <c r="Y15" s="49"/>
      <c r="Z15" s="49"/>
      <c r="AA15" s="49"/>
      <c r="AB15" s="49"/>
      <c r="AC15" s="49"/>
      <c r="AD15" s="49"/>
      <c r="AE15" s="49"/>
      <c r="AF15" s="49"/>
      <c r="AG15" s="49"/>
      <c r="AH15" s="49"/>
      <c r="AI15" s="49"/>
      <c r="AJ15" s="49"/>
      <c r="AK15" s="49"/>
      <c r="AL15" s="49"/>
      <c r="AM15" s="49"/>
      <c r="AN15" s="49"/>
      <c r="AO15" s="49"/>
      <c r="AP15" s="49"/>
      <c r="AQ15" s="49"/>
      <c r="AR15" s="49"/>
      <c r="AS15" s="49"/>
    </row>
    <row r="16" spans="1:45" x14ac:dyDescent="0.25">
      <c r="A16" s="45"/>
      <c r="B16" s="45"/>
      <c r="C16" s="46" t="s">
        <v>84</v>
      </c>
      <c r="D16" s="121"/>
      <c r="E16" s="122"/>
      <c r="F16" s="122"/>
      <c r="G16" s="123"/>
      <c r="H16" s="106"/>
      <c r="I16" s="37"/>
      <c r="J16" s="37"/>
      <c r="K16" s="37"/>
      <c r="L16" s="37"/>
      <c r="M16" s="37"/>
      <c r="N16" s="37"/>
      <c r="O16" s="37"/>
      <c r="P16" s="37"/>
      <c r="Q16" s="37"/>
      <c r="R16" s="37"/>
      <c r="S16" s="37"/>
      <c r="T16" s="37"/>
      <c r="U16" s="37"/>
      <c r="V16" s="37"/>
      <c r="W16" s="37"/>
      <c r="X16" s="49"/>
      <c r="Y16" s="49"/>
      <c r="Z16" s="49"/>
      <c r="AA16" s="49"/>
      <c r="AB16" s="49"/>
      <c r="AC16" s="49"/>
      <c r="AD16" s="49"/>
      <c r="AE16" s="49"/>
      <c r="AF16" s="49"/>
      <c r="AG16" s="49"/>
      <c r="AH16" s="49"/>
      <c r="AI16" s="49"/>
      <c r="AJ16" s="49"/>
      <c r="AK16" s="49"/>
      <c r="AL16" s="49"/>
      <c r="AM16" s="49"/>
      <c r="AN16" s="49"/>
      <c r="AO16" s="49"/>
      <c r="AP16" s="49"/>
      <c r="AQ16" s="49"/>
      <c r="AR16" s="49"/>
      <c r="AS16" s="49"/>
    </row>
    <row r="17" spans="1:45" x14ac:dyDescent="0.25">
      <c r="A17" s="45"/>
      <c r="B17" s="45"/>
      <c r="C17" s="46" t="s">
        <v>92</v>
      </c>
      <c r="D17" s="121" t="s">
        <v>360</v>
      </c>
      <c r="E17" s="122"/>
      <c r="F17" s="122"/>
      <c r="G17" s="123"/>
      <c r="H17" s="106"/>
      <c r="I17" s="37"/>
      <c r="J17" s="37"/>
      <c r="K17" s="37"/>
      <c r="L17" s="37"/>
      <c r="M17" s="37"/>
      <c r="N17" s="37"/>
      <c r="O17" s="37"/>
      <c r="P17" s="37"/>
      <c r="Q17" s="37"/>
      <c r="R17" s="37"/>
      <c r="S17" s="37"/>
      <c r="T17" s="37"/>
      <c r="U17" s="37"/>
      <c r="V17" s="37"/>
      <c r="W17" s="37"/>
      <c r="X17" s="49"/>
      <c r="Y17" s="49"/>
      <c r="Z17" s="49"/>
      <c r="AA17" s="49"/>
      <c r="AB17" s="49"/>
      <c r="AC17" s="49"/>
      <c r="AD17" s="49"/>
      <c r="AE17" s="49"/>
      <c r="AF17" s="49"/>
      <c r="AG17" s="49"/>
      <c r="AH17" s="49"/>
      <c r="AI17" s="49"/>
      <c r="AJ17" s="49"/>
      <c r="AK17" s="49"/>
      <c r="AL17" s="49"/>
      <c r="AM17" s="49"/>
      <c r="AN17" s="49"/>
      <c r="AO17" s="49"/>
      <c r="AP17" s="49"/>
      <c r="AQ17" s="49"/>
      <c r="AR17" s="49"/>
      <c r="AS17" s="49"/>
    </row>
    <row r="18" spans="1:45" ht="22.5" x14ac:dyDescent="0.25">
      <c r="A18" s="45"/>
      <c r="B18" s="45"/>
      <c r="C18" s="46" t="s">
        <v>93</v>
      </c>
      <c r="D18" s="121" t="s">
        <v>94</v>
      </c>
      <c r="E18" s="122"/>
      <c r="F18" s="122"/>
      <c r="G18" s="123"/>
      <c r="H18" s="106"/>
      <c r="I18" s="37"/>
      <c r="J18" s="37"/>
      <c r="K18" s="37"/>
      <c r="L18" s="37"/>
      <c r="M18" s="37"/>
      <c r="N18" s="37"/>
      <c r="O18" s="37"/>
      <c r="P18" s="37"/>
      <c r="Q18" s="37"/>
      <c r="R18" s="37"/>
      <c r="S18" s="37"/>
      <c r="T18" s="37"/>
      <c r="U18" s="37"/>
      <c r="V18" s="37"/>
      <c r="W18" s="37"/>
      <c r="X18" s="49"/>
      <c r="Y18" s="49"/>
      <c r="Z18" s="49"/>
      <c r="AA18" s="49"/>
      <c r="AB18" s="49"/>
      <c r="AC18" s="49"/>
      <c r="AD18" s="49"/>
      <c r="AE18" s="49"/>
      <c r="AF18" s="49"/>
      <c r="AG18" s="49"/>
      <c r="AH18" s="49"/>
      <c r="AI18" s="49"/>
      <c r="AJ18" s="49"/>
      <c r="AK18" s="49"/>
      <c r="AL18" s="49"/>
      <c r="AM18" s="49"/>
      <c r="AN18" s="49"/>
      <c r="AO18" s="49"/>
      <c r="AP18" s="49"/>
      <c r="AQ18" s="49"/>
      <c r="AR18" s="49"/>
      <c r="AS18" s="49"/>
    </row>
    <row r="19" spans="1:45" x14ac:dyDescent="0.25">
      <c r="A19" s="45"/>
      <c r="B19" s="45"/>
      <c r="C19" s="55" t="s">
        <v>95</v>
      </c>
      <c r="D19" s="124" t="s">
        <v>240</v>
      </c>
      <c r="E19" s="125"/>
      <c r="F19" s="125"/>
      <c r="G19" s="126"/>
      <c r="H19" s="107"/>
      <c r="I19" s="37"/>
      <c r="J19" s="127"/>
      <c r="K19" s="128"/>
      <c r="L19" s="128"/>
      <c r="M19" s="129"/>
      <c r="N19" s="37"/>
      <c r="O19" s="37"/>
      <c r="P19" s="37"/>
      <c r="Q19" s="37"/>
      <c r="R19" s="37"/>
      <c r="S19" s="37"/>
      <c r="T19" s="37"/>
      <c r="U19" s="37"/>
      <c r="V19" s="37"/>
      <c r="W19" s="37"/>
      <c r="X19" s="49"/>
      <c r="Y19" s="49"/>
      <c r="Z19" s="49"/>
      <c r="AA19" s="49"/>
      <c r="AB19" s="49"/>
      <c r="AC19" s="49"/>
      <c r="AD19" s="49"/>
      <c r="AE19" s="49"/>
      <c r="AF19" s="49"/>
      <c r="AG19" s="49"/>
      <c r="AH19" s="49"/>
      <c r="AI19" s="49"/>
      <c r="AJ19" s="49"/>
      <c r="AK19" s="49"/>
      <c r="AL19" s="49"/>
      <c r="AM19" s="49"/>
      <c r="AN19" s="49"/>
      <c r="AO19" s="49"/>
      <c r="AP19" s="49"/>
      <c r="AQ19" s="49"/>
      <c r="AR19" s="49"/>
      <c r="AS19" s="49"/>
    </row>
    <row r="20" spans="1:45" x14ac:dyDescent="0.25">
      <c r="A20" s="45"/>
      <c r="B20" s="45"/>
      <c r="C20" s="55" t="s">
        <v>96</v>
      </c>
      <c r="D20" s="130" t="str">
        <f>$D$19&amp;"/"&amp;$D$18&amp;"/IN"</f>
        <v>/data/HR_SAP_ADDRESSES/DAILY/IN</v>
      </c>
      <c r="E20" s="131"/>
      <c r="F20" s="131"/>
      <c r="G20" s="132"/>
      <c r="H20" s="108"/>
      <c r="I20" s="37"/>
      <c r="J20" s="37"/>
      <c r="K20" s="37"/>
      <c r="L20" s="37"/>
      <c r="M20" s="37"/>
      <c r="N20" s="37"/>
      <c r="O20" s="37"/>
      <c r="P20" s="37"/>
      <c r="Q20" s="37"/>
      <c r="R20" s="37"/>
      <c r="S20" s="37"/>
      <c r="T20" s="37"/>
      <c r="U20" s="37"/>
      <c r="V20" s="37"/>
      <c r="W20" s="37"/>
      <c r="X20" s="49"/>
      <c r="Y20" s="49"/>
      <c r="Z20" s="49"/>
      <c r="AA20" s="49"/>
      <c r="AB20" s="49"/>
      <c r="AC20" s="49"/>
      <c r="AD20" s="49"/>
      <c r="AE20" s="49"/>
      <c r="AF20" s="49"/>
      <c r="AG20" s="49"/>
      <c r="AH20" s="49"/>
      <c r="AI20" s="49"/>
      <c r="AJ20" s="49"/>
      <c r="AK20" s="49"/>
      <c r="AL20" s="49"/>
      <c r="AM20" s="49"/>
      <c r="AN20" s="49"/>
      <c r="AO20" s="49"/>
      <c r="AP20" s="49"/>
      <c r="AQ20" s="49"/>
      <c r="AR20" s="49"/>
      <c r="AS20" s="49"/>
    </row>
    <row r="21" spans="1:45" ht="15" customHeight="1" x14ac:dyDescent="0.25">
      <c r="A21" s="45"/>
      <c r="B21" s="45"/>
      <c r="C21" s="55" t="s">
        <v>97</v>
      </c>
      <c r="D21" s="130" t="str">
        <f>$D$19&amp;"/"&amp;$D$18&amp;"/IN-PROGRESS"</f>
        <v>/data/HR_SAP_ADDRESSES/DAILY/IN-PROGRESS</v>
      </c>
      <c r="E21" s="131"/>
      <c r="F21" s="131"/>
      <c r="G21" s="132"/>
      <c r="H21" s="108"/>
      <c r="I21" s="37"/>
      <c r="J21" s="37"/>
      <c r="K21" s="37"/>
      <c r="L21" s="37"/>
      <c r="M21" s="37"/>
      <c r="N21" s="37"/>
      <c r="O21" s="37"/>
      <c r="P21" s="37"/>
      <c r="Q21" s="37"/>
      <c r="R21" s="37"/>
      <c r="S21" s="37"/>
      <c r="T21" s="37"/>
      <c r="U21" s="37"/>
      <c r="V21" s="37"/>
      <c r="W21" s="37"/>
      <c r="X21" s="49"/>
      <c r="Y21" s="49"/>
      <c r="Z21" s="49"/>
      <c r="AA21" s="49"/>
      <c r="AB21" s="49"/>
      <c r="AC21" s="49"/>
      <c r="AD21" s="49"/>
      <c r="AE21" s="49"/>
      <c r="AF21" s="49"/>
      <c r="AG21" s="49"/>
      <c r="AH21" s="49"/>
      <c r="AI21" s="49"/>
      <c r="AJ21" s="49"/>
      <c r="AK21" s="49"/>
      <c r="AL21" s="49"/>
      <c r="AM21" s="49"/>
      <c r="AN21" s="49"/>
      <c r="AO21" s="49"/>
      <c r="AP21" s="49"/>
      <c r="AQ21" s="49"/>
      <c r="AR21" s="49"/>
      <c r="AS21" s="49"/>
    </row>
    <row r="22" spans="1:45" ht="15" customHeight="1" x14ac:dyDescent="0.25">
      <c r="A22" s="45"/>
      <c r="B22" s="45"/>
      <c r="C22" s="55" t="s">
        <v>98</v>
      </c>
      <c r="D22" s="130" t="str">
        <f>$D$19&amp;"/"&amp;$D$18&amp;"/ARCHIVE"</f>
        <v>/data/HR_SAP_ADDRESSES/DAILY/ARCHIVE</v>
      </c>
      <c r="E22" s="131"/>
      <c r="F22" s="131"/>
      <c r="G22" s="132"/>
      <c r="H22" s="108"/>
      <c r="I22" s="37"/>
      <c r="J22" s="37"/>
      <c r="K22" s="37"/>
      <c r="L22" s="37"/>
      <c r="M22" s="37"/>
      <c r="N22" s="37"/>
      <c r="O22" s="37"/>
      <c r="P22" s="37"/>
      <c r="Q22" s="37"/>
      <c r="R22" s="37"/>
      <c r="S22" s="37"/>
      <c r="T22" s="37"/>
      <c r="U22" s="37"/>
      <c r="V22" s="37"/>
      <c r="W22" s="37"/>
      <c r="X22" s="49"/>
      <c r="Y22" s="49"/>
      <c r="Z22" s="49"/>
      <c r="AA22" s="49"/>
      <c r="AB22" s="49"/>
      <c r="AC22" s="49"/>
      <c r="AD22" s="49"/>
      <c r="AE22" s="49"/>
      <c r="AF22" s="49"/>
      <c r="AG22" s="49"/>
      <c r="AH22" s="49"/>
      <c r="AI22" s="49"/>
      <c r="AJ22" s="49"/>
      <c r="AK22" s="49"/>
      <c r="AL22" s="49"/>
      <c r="AM22" s="49"/>
      <c r="AN22" s="49"/>
      <c r="AO22" s="49"/>
      <c r="AP22" s="49"/>
      <c r="AQ22" s="49"/>
      <c r="AR22" s="49"/>
      <c r="AS22" s="49"/>
    </row>
    <row r="23" spans="1:45" x14ac:dyDescent="0.25">
      <c r="A23" s="45"/>
      <c r="B23" s="45"/>
      <c r="C23" s="55" t="s">
        <v>99</v>
      </c>
      <c r="D23" s="130" t="str">
        <f>$D$19&amp;"/"&amp;$D$18&amp;"/REJECT"</f>
        <v>/data/HR_SAP_ADDRESSES/DAILY/REJECT</v>
      </c>
      <c r="E23" s="131"/>
      <c r="F23" s="131"/>
      <c r="G23" s="132"/>
      <c r="H23" s="108"/>
      <c r="I23" s="37"/>
      <c r="J23" s="37"/>
      <c r="K23" s="37"/>
      <c r="L23" s="37"/>
      <c r="M23" s="37"/>
      <c r="N23" s="37"/>
      <c r="O23" s="37"/>
      <c r="P23" s="37"/>
      <c r="Q23" s="37"/>
      <c r="R23" s="37"/>
      <c r="S23" s="37"/>
      <c r="T23" s="37"/>
      <c r="U23" s="37"/>
      <c r="V23" s="37"/>
      <c r="W23" s="37"/>
      <c r="X23" s="49"/>
      <c r="Y23" s="49"/>
      <c r="Z23" s="49"/>
      <c r="AA23" s="49"/>
      <c r="AB23" s="49"/>
      <c r="AC23" s="49"/>
      <c r="AD23" s="49"/>
      <c r="AE23" s="49"/>
      <c r="AF23" s="49"/>
      <c r="AG23" s="49"/>
      <c r="AH23" s="49"/>
      <c r="AI23" s="49"/>
      <c r="AJ23" s="49"/>
      <c r="AK23" s="49"/>
      <c r="AL23" s="49"/>
      <c r="AM23" s="49"/>
      <c r="AN23" s="49"/>
      <c r="AO23" s="49"/>
      <c r="AP23" s="49"/>
      <c r="AQ23" s="49"/>
      <c r="AR23" s="49"/>
      <c r="AS23" s="49"/>
    </row>
    <row r="24" spans="1:45" x14ac:dyDescent="0.25">
      <c r="A24" s="45"/>
      <c r="B24" s="45"/>
      <c r="C24" s="55" t="s">
        <v>100</v>
      </c>
      <c r="D24" s="130" t="str">
        <f>$D$19&amp;"/"&amp;$D$18&amp;"/FAILURE"</f>
        <v>/data/HR_SAP_ADDRESSES/DAILY/FAILURE</v>
      </c>
      <c r="E24" s="131"/>
      <c r="F24" s="131"/>
      <c r="G24" s="132"/>
      <c r="H24" s="108"/>
      <c r="I24" s="37"/>
      <c r="J24" s="37"/>
      <c r="K24" s="37"/>
      <c r="L24" s="37"/>
      <c r="M24" s="37"/>
      <c r="N24" s="37"/>
      <c r="O24" s="37"/>
      <c r="P24" s="37"/>
      <c r="Q24" s="37"/>
      <c r="R24" s="37"/>
      <c r="S24" s="37"/>
      <c r="T24" s="37"/>
      <c r="U24" s="37"/>
      <c r="V24" s="37"/>
      <c r="W24" s="37"/>
      <c r="X24" s="49"/>
      <c r="Y24" s="49"/>
      <c r="Z24" s="49"/>
      <c r="AA24" s="49"/>
      <c r="AB24" s="49"/>
      <c r="AC24" s="49"/>
      <c r="AD24" s="49"/>
      <c r="AE24" s="49"/>
      <c r="AF24" s="49"/>
      <c r="AG24" s="49"/>
      <c r="AH24" s="49"/>
      <c r="AI24" s="49"/>
      <c r="AJ24" s="49"/>
      <c r="AK24" s="49"/>
      <c r="AL24" s="49"/>
      <c r="AM24" s="49"/>
      <c r="AN24" s="49"/>
      <c r="AO24" s="49"/>
      <c r="AP24" s="49"/>
      <c r="AQ24" s="49"/>
      <c r="AR24" s="49"/>
      <c r="AS24" s="49"/>
    </row>
    <row r="25" spans="1:45" ht="15" customHeight="1" x14ac:dyDescent="0.25">
      <c r="A25" s="45"/>
      <c r="B25" s="45"/>
      <c r="C25" s="55" t="s">
        <v>101</v>
      </c>
      <c r="D25" s="130" t="str">
        <f>$D$19&amp;"/"&amp;$D$18&amp;"/FILTERED"</f>
        <v>/data/HR_SAP_ADDRESSES/DAILY/FILTERED</v>
      </c>
      <c r="E25" s="131"/>
      <c r="F25" s="131"/>
      <c r="G25" s="132"/>
      <c r="H25" s="108"/>
      <c r="I25" s="37"/>
      <c r="J25" s="37"/>
      <c r="K25" s="37"/>
      <c r="L25" s="37"/>
      <c r="M25" s="37"/>
      <c r="N25" s="37"/>
      <c r="O25" s="37"/>
      <c r="P25" s="37"/>
      <c r="Q25" s="37"/>
      <c r="R25" s="37"/>
      <c r="S25" s="37"/>
      <c r="T25" s="37"/>
      <c r="U25" s="37"/>
      <c r="V25" s="37"/>
      <c r="W25" s="37"/>
      <c r="X25" s="49"/>
      <c r="Y25" s="49"/>
      <c r="Z25" s="49"/>
      <c r="AA25" s="49"/>
      <c r="AB25" s="49"/>
      <c r="AC25" s="49"/>
      <c r="AD25" s="49"/>
      <c r="AE25" s="49"/>
      <c r="AF25" s="49"/>
      <c r="AG25" s="49"/>
      <c r="AH25" s="49"/>
      <c r="AI25" s="49"/>
      <c r="AJ25" s="49"/>
      <c r="AK25" s="49"/>
      <c r="AL25" s="49"/>
      <c r="AM25" s="49"/>
      <c r="AN25" s="49"/>
      <c r="AO25" s="49"/>
      <c r="AP25" s="49"/>
      <c r="AQ25" s="49"/>
      <c r="AR25" s="49"/>
      <c r="AS25" s="49"/>
    </row>
    <row r="26" spans="1:45" ht="15" customHeight="1" x14ac:dyDescent="0.25">
      <c r="A26" s="45"/>
      <c r="B26" s="45"/>
      <c r="C26" s="46" t="s">
        <v>62</v>
      </c>
      <c r="D26" s="121" t="s">
        <v>135</v>
      </c>
      <c r="E26" s="122"/>
      <c r="F26" s="122"/>
      <c r="G26" s="123"/>
      <c r="H26" s="106"/>
      <c r="I26" s="37"/>
      <c r="J26" s="37"/>
      <c r="K26" s="37"/>
      <c r="L26" s="37"/>
      <c r="M26" s="37"/>
      <c r="N26" s="37"/>
      <c r="O26" s="37"/>
      <c r="P26" s="37"/>
      <c r="Q26" s="37"/>
      <c r="R26" s="37"/>
      <c r="S26" s="37"/>
      <c r="T26" s="37"/>
      <c r="U26" s="37"/>
      <c r="V26" s="37"/>
      <c r="W26" s="37"/>
      <c r="X26" s="49"/>
      <c r="Y26" s="49"/>
      <c r="Z26" s="49"/>
      <c r="AA26" s="49"/>
      <c r="AB26" s="49"/>
      <c r="AC26" s="49"/>
      <c r="AD26" s="49"/>
      <c r="AE26" s="49"/>
      <c r="AF26" s="49"/>
      <c r="AG26" s="49"/>
      <c r="AH26" s="49"/>
      <c r="AI26" s="49"/>
      <c r="AJ26" s="49"/>
      <c r="AK26" s="49"/>
      <c r="AL26" s="49"/>
      <c r="AM26" s="49"/>
      <c r="AN26" s="49"/>
      <c r="AO26" s="49"/>
      <c r="AP26" s="49"/>
      <c r="AQ26" s="49"/>
      <c r="AR26" s="49"/>
      <c r="AS26" s="49"/>
    </row>
    <row r="27" spans="1:45" x14ac:dyDescent="0.25">
      <c r="A27" s="45"/>
      <c r="B27" s="45"/>
      <c r="C27" s="46" t="s">
        <v>110</v>
      </c>
      <c r="D27" s="121" t="s">
        <v>237</v>
      </c>
      <c r="E27" s="122"/>
      <c r="F27" s="122"/>
      <c r="G27" s="123"/>
      <c r="H27" s="106"/>
      <c r="I27" s="37"/>
      <c r="J27" s="37"/>
      <c r="K27" s="37"/>
      <c r="L27" s="37"/>
      <c r="M27" s="37"/>
      <c r="N27" s="37"/>
      <c r="O27" s="37"/>
      <c r="P27" s="37"/>
      <c r="Q27" s="37"/>
      <c r="R27" s="37"/>
      <c r="S27" s="37"/>
      <c r="T27" s="37"/>
      <c r="U27" s="37"/>
      <c r="V27" s="37"/>
      <c r="W27" s="37"/>
      <c r="X27" s="49"/>
      <c r="Y27" s="49"/>
      <c r="Z27" s="49"/>
      <c r="AA27" s="49"/>
      <c r="AB27" s="49"/>
      <c r="AC27" s="49"/>
      <c r="AD27" s="49"/>
      <c r="AE27" s="49"/>
      <c r="AF27" s="49"/>
      <c r="AG27" s="49"/>
      <c r="AH27" s="49"/>
      <c r="AI27" s="49"/>
      <c r="AJ27" s="49"/>
      <c r="AK27" s="49"/>
      <c r="AL27" s="49"/>
      <c r="AM27" s="49"/>
      <c r="AN27" s="49"/>
      <c r="AO27" s="49"/>
      <c r="AP27" s="49"/>
      <c r="AQ27" s="49"/>
      <c r="AR27" s="49"/>
      <c r="AS27" s="49"/>
    </row>
    <row r="28" spans="1:45" x14ac:dyDescent="0.25">
      <c r="A28" s="45"/>
      <c r="B28" s="45"/>
      <c r="C28" s="46" t="s">
        <v>387</v>
      </c>
      <c r="D28" s="121">
        <v>0</v>
      </c>
      <c r="E28" s="122"/>
      <c r="F28" s="122"/>
      <c r="G28" s="123"/>
      <c r="H28" s="106"/>
      <c r="I28" s="37"/>
      <c r="J28" s="37"/>
      <c r="K28" s="37"/>
      <c r="L28" s="37"/>
      <c r="M28" s="37"/>
      <c r="N28" s="37"/>
      <c r="O28" s="37"/>
      <c r="P28" s="37"/>
      <c r="Q28" s="37"/>
      <c r="R28" s="37"/>
      <c r="S28" s="37"/>
      <c r="T28" s="37"/>
      <c r="U28" s="37"/>
      <c r="V28" s="37"/>
      <c r="W28" s="37"/>
      <c r="X28" s="49"/>
      <c r="Y28" s="49"/>
      <c r="Z28" s="49"/>
      <c r="AA28" s="49"/>
      <c r="AB28" s="49"/>
      <c r="AC28" s="49"/>
      <c r="AD28" s="49"/>
      <c r="AE28" s="49"/>
      <c r="AF28" s="49"/>
      <c r="AG28" s="49"/>
      <c r="AH28" s="49"/>
      <c r="AI28" s="49"/>
      <c r="AJ28" s="49"/>
      <c r="AK28" s="49"/>
      <c r="AL28" s="49"/>
      <c r="AM28" s="49"/>
      <c r="AN28" s="49"/>
      <c r="AO28" s="49"/>
      <c r="AP28" s="49"/>
      <c r="AQ28" s="49"/>
      <c r="AR28" s="49"/>
      <c r="AS28" s="49"/>
    </row>
    <row r="29" spans="1:45" ht="15" customHeight="1" x14ac:dyDescent="0.25">
      <c r="A29" s="45"/>
      <c r="B29" s="45"/>
      <c r="C29" s="55" t="s">
        <v>63</v>
      </c>
      <c r="D29" s="121" t="s">
        <v>135</v>
      </c>
      <c r="E29" s="122"/>
      <c r="F29" s="122"/>
      <c r="G29" s="123"/>
      <c r="H29" s="106"/>
      <c r="I29" s="37"/>
      <c r="J29" s="37"/>
      <c r="K29" s="37"/>
      <c r="L29" s="37"/>
      <c r="M29" s="37"/>
      <c r="N29" s="37"/>
      <c r="O29" s="37"/>
      <c r="P29" s="37"/>
      <c r="Q29" s="37"/>
      <c r="R29" s="37"/>
      <c r="S29" s="37"/>
      <c r="T29" s="37"/>
      <c r="U29" s="37"/>
      <c r="V29" s="37"/>
      <c r="W29" s="37"/>
      <c r="X29" s="49"/>
      <c r="Y29" s="49"/>
      <c r="Z29" s="49"/>
      <c r="AA29" s="49"/>
      <c r="AB29" s="49"/>
      <c r="AC29" s="49"/>
      <c r="AD29" s="49"/>
      <c r="AE29" s="49"/>
      <c r="AF29" s="49"/>
      <c r="AG29" s="49"/>
      <c r="AH29" s="49"/>
      <c r="AI29" s="49"/>
      <c r="AJ29" s="49"/>
      <c r="AK29" s="49"/>
      <c r="AL29" s="49"/>
      <c r="AM29" s="49"/>
      <c r="AN29" s="49"/>
      <c r="AO29" s="49"/>
      <c r="AP29" s="49"/>
      <c r="AQ29" s="49"/>
      <c r="AR29" s="49"/>
      <c r="AS29" s="49"/>
    </row>
    <row r="30" spans="1:45" x14ac:dyDescent="0.25">
      <c r="A30" s="45"/>
      <c r="B30" s="45"/>
      <c r="C30" s="46" t="s">
        <v>64</v>
      </c>
      <c r="D30" s="121" t="s">
        <v>136</v>
      </c>
      <c r="E30" s="122"/>
      <c r="F30" s="122"/>
      <c r="G30" s="123"/>
      <c r="H30" s="106"/>
      <c r="I30" s="37"/>
      <c r="J30" s="37"/>
      <c r="K30" s="37"/>
      <c r="L30" s="37"/>
      <c r="M30" s="37"/>
      <c r="N30" s="37"/>
      <c r="O30" s="37"/>
      <c r="P30" s="37"/>
      <c r="Q30" s="37"/>
      <c r="R30" s="37"/>
      <c r="S30" s="37"/>
      <c r="T30" s="37"/>
      <c r="U30" s="37"/>
      <c r="V30" s="37"/>
      <c r="W30" s="37"/>
      <c r="X30" s="49"/>
      <c r="Y30" s="49"/>
      <c r="Z30" s="49"/>
      <c r="AA30" s="49"/>
      <c r="AB30" s="49"/>
      <c r="AC30" s="49"/>
      <c r="AD30" s="49"/>
      <c r="AE30" s="49"/>
      <c r="AF30" s="49"/>
      <c r="AG30" s="49"/>
      <c r="AH30" s="49"/>
      <c r="AI30" s="49"/>
      <c r="AJ30" s="49"/>
      <c r="AK30" s="49"/>
      <c r="AL30" s="49"/>
      <c r="AM30" s="49"/>
      <c r="AN30" s="49"/>
      <c r="AO30" s="49"/>
      <c r="AP30" s="49"/>
      <c r="AQ30" s="49"/>
      <c r="AR30" s="49"/>
      <c r="AS30" s="49"/>
    </row>
    <row r="31" spans="1:45" x14ac:dyDescent="0.25">
      <c r="A31" s="45"/>
      <c r="B31" s="45"/>
      <c r="C31" s="46" t="s">
        <v>362</v>
      </c>
      <c r="D31" s="121"/>
      <c r="E31" s="122"/>
      <c r="F31" s="122"/>
      <c r="G31" s="123"/>
      <c r="H31" s="106"/>
      <c r="I31" s="37"/>
      <c r="J31" s="37"/>
      <c r="K31" s="37"/>
      <c r="L31" s="37"/>
      <c r="M31" s="37"/>
      <c r="N31" s="37"/>
      <c r="O31" s="37"/>
      <c r="P31" s="37"/>
      <c r="Q31" s="37"/>
      <c r="R31" s="37"/>
      <c r="S31" s="37"/>
      <c r="T31" s="37"/>
      <c r="U31" s="37"/>
      <c r="V31" s="37"/>
      <c r="W31" s="49"/>
      <c r="X31" s="49"/>
      <c r="Y31" s="49"/>
      <c r="Z31" s="49"/>
      <c r="AA31" s="49"/>
      <c r="AB31" s="49"/>
      <c r="AC31" s="49"/>
      <c r="AD31" s="49"/>
      <c r="AE31" s="49"/>
      <c r="AF31" s="49"/>
      <c r="AG31" s="49"/>
      <c r="AH31" s="49"/>
      <c r="AI31" s="49"/>
      <c r="AJ31" s="49"/>
      <c r="AK31" s="49"/>
      <c r="AL31" s="49"/>
      <c r="AM31" s="49"/>
      <c r="AN31" s="49"/>
      <c r="AO31" s="49"/>
      <c r="AP31" s="49"/>
      <c r="AQ31" s="49"/>
      <c r="AR31" s="49"/>
      <c r="AS31" s="49"/>
    </row>
    <row r="32" spans="1:45" x14ac:dyDescent="0.25">
      <c r="A32" s="45"/>
      <c r="B32" s="45"/>
      <c r="C32" s="46" t="s">
        <v>65</v>
      </c>
      <c r="D32" s="121" t="s">
        <v>239</v>
      </c>
      <c r="E32" s="122"/>
      <c r="F32" s="122"/>
      <c r="G32" s="123"/>
      <c r="H32" s="106"/>
      <c r="I32" s="37"/>
      <c r="J32" s="37"/>
      <c r="K32" s="37"/>
      <c r="L32" s="37"/>
      <c r="M32" s="37"/>
      <c r="N32" s="37"/>
      <c r="O32" s="37"/>
      <c r="P32" s="37"/>
      <c r="Q32" s="37"/>
      <c r="R32" s="37"/>
      <c r="S32" s="37"/>
      <c r="T32" s="37"/>
      <c r="U32" s="37"/>
      <c r="V32" s="37"/>
      <c r="W32" s="37"/>
      <c r="X32" s="49"/>
      <c r="Y32" s="49"/>
      <c r="Z32" s="49"/>
      <c r="AA32" s="49"/>
      <c r="AB32" s="49"/>
      <c r="AC32" s="49"/>
      <c r="AD32" s="49"/>
      <c r="AE32" s="49"/>
      <c r="AF32" s="49"/>
      <c r="AG32" s="49"/>
      <c r="AH32" s="49"/>
      <c r="AI32" s="49"/>
      <c r="AJ32" s="49"/>
      <c r="AK32" s="49"/>
      <c r="AL32" s="49"/>
      <c r="AM32" s="49"/>
      <c r="AN32" s="49"/>
      <c r="AO32" s="49"/>
      <c r="AP32" s="49"/>
      <c r="AQ32" s="49"/>
      <c r="AR32" s="49"/>
      <c r="AS32" s="49"/>
    </row>
    <row r="33" spans="1:47" x14ac:dyDescent="0.25">
      <c r="A33" s="45"/>
      <c r="B33" s="45"/>
      <c r="C33" s="46" t="s">
        <v>66</v>
      </c>
      <c r="D33" s="121" t="s">
        <v>137</v>
      </c>
      <c r="E33" s="122"/>
      <c r="F33" s="122"/>
      <c r="G33" s="123"/>
      <c r="H33" s="106"/>
      <c r="I33" s="37"/>
      <c r="J33" s="37"/>
      <c r="K33" s="37"/>
      <c r="L33" s="37"/>
      <c r="M33" s="37"/>
      <c r="N33" s="37"/>
      <c r="O33" s="37"/>
      <c r="P33" s="37"/>
      <c r="Q33" s="37"/>
      <c r="R33" s="37"/>
      <c r="S33" s="37"/>
      <c r="T33" s="37"/>
      <c r="U33" s="37"/>
      <c r="V33" s="37"/>
      <c r="W33" s="37"/>
      <c r="X33" s="49"/>
      <c r="Y33" s="49"/>
      <c r="Z33" s="49"/>
      <c r="AA33" s="49"/>
      <c r="AB33" s="49"/>
      <c r="AC33" s="49"/>
      <c r="AD33" s="49"/>
      <c r="AE33" s="49"/>
      <c r="AF33" s="49"/>
      <c r="AG33" s="49"/>
      <c r="AH33" s="49"/>
      <c r="AI33" s="49"/>
      <c r="AJ33" s="49"/>
      <c r="AK33" s="49"/>
      <c r="AL33" s="49"/>
      <c r="AM33" s="49"/>
      <c r="AN33" s="49"/>
      <c r="AO33" s="49"/>
      <c r="AP33" s="49"/>
      <c r="AQ33" s="49"/>
      <c r="AR33" s="49"/>
      <c r="AS33" s="49"/>
    </row>
    <row r="34" spans="1:47" x14ac:dyDescent="0.25">
      <c r="A34" s="45"/>
      <c r="B34" s="45"/>
      <c r="C34" s="55" t="s">
        <v>256</v>
      </c>
      <c r="D34" s="121" t="s">
        <v>137</v>
      </c>
      <c r="E34" s="122"/>
      <c r="F34" s="122"/>
      <c r="G34" s="123"/>
      <c r="H34" s="106"/>
      <c r="I34" s="37"/>
      <c r="J34" s="82"/>
      <c r="K34" s="82"/>
      <c r="L34" s="37"/>
      <c r="M34" s="37"/>
      <c r="N34" s="37"/>
      <c r="O34" s="37"/>
      <c r="P34" s="37"/>
      <c r="Q34" s="37"/>
      <c r="R34" s="37"/>
      <c r="S34" s="37"/>
      <c r="T34" s="37"/>
      <c r="U34" s="37"/>
      <c r="V34" s="37"/>
      <c r="W34" s="49"/>
      <c r="X34" s="49"/>
      <c r="Y34" s="49"/>
      <c r="Z34" s="49"/>
      <c r="AA34" s="49"/>
      <c r="AB34" s="49"/>
      <c r="AC34" s="49"/>
      <c r="AD34" s="49"/>
      <c r="AE34" s="49"/>
      <c r="AF34" s="49"/>
      <c r="AG34" s="49"/>
      <c r="AH34" s="49"/>
      <c r="AI34" s="49"/>
      <c r="AJ34" s="49"/>
      <c r="AK34" s="49"/>
      <c r="AL34" s="49"/>
      <c r="AM34" s="49"/>
      <c r="AN34" s="49"/>
      <c r="AO34" s="49"/>
      <c r="AP34" s="49"/>
      <c r="AQ34" s="49"/>
      <c r="AR34" s="49"/>
      <c r="AS34" s="49"/>
    </row>
    <row r="35" spans="1:47" x14ac:dyDescent="0.25">
      <c r="A35" s="45"/>
      <c r="B35" s="45"/>
      <c r="C35" s="55" t="s">
        <v>257</v>
      </c>
      <c r="D35" s="121">
        <v>1</v>
      </c>
      <c r="E35" s="122"/>
      <c r="F35" s="122"/>
      <c r="G35" s="123"/>
      <c r="H35" s="106"/>
      <c r="I35" s="37"/>
      <c r="J35" s="82"/>
      <c r="K35" s="82"/>
      <c r="L35" s="37"/>
      <c r="M35" s="37"/>
      <c r="N35" s="37"/>
      <c r="O35" s="37"/>
      <c r="P35" s="37"/>
      <c r="Q35" s="37"/>
      <c r="R35" s="37"/>
      <c r="S35" s="37"/>
      <c r="T35" s="37"/>
      <c r="U35" s="37"/>
      <c r="V35" s="37"/>
      <c r="W35" s="49"/>
      <c r="X35" s="49"/>
      <c r="Y35" s="49"/>
      <c r="Z35" s="49"/>
      <c r="AA35" s="49"/>
      <c r="AB35" s="49"/>
      <c r="AC35" s="49"/>
      <c r="AD35" s="49"/>
      <c r="AE35" s="49"/>
      <c r="AF35" s="49"/>
      <c r="AG35" s="49"/>
      <c r="AH35" s="49"/>
      <c r="AI35" s="49"/>
      <c r="AJ35" s="49"/>
      <c r="AK35" s="49"/>
      <c r="AL35" s="49"/>
      <c r="AM35" s="49"/>
      <c r="AN35" s="49"/>
      <c r="AO35" s="49"/>
      <c r="AP35" s="49"/>
      <c r="AQ35" s="49"/>
      <c r="AR35" s="49"/>
      <c r="AS35" s="49"/>
    </row>
    <row r="36" spans="1:47" x14ac:dyDescent="0.25">
      <c r="A36" s="45"/>
      <c r="B36" s="45"/>
      <c r="C36" s="55" t="s">
        <v>258</v>
      </c>
      <c r="D36" s="121"/>
      <c r="E36" s="122"/>
      <c r="F36" s="122"/>
      <c r="G36" s="123"/>
      <c r="H36" s="106"/>
      <c r="I36" s="37"/>
      <c r="J36" s="82"/>
      <c r="K36" s="82"/>
      <c r="L36" s="37"/>
      <c r="M36" s="37"/>
      <c r="N36" s="37"/>
      <c r="O36" s="37"/>
      <c r="P36" s="37"/>
      <c r="Q36" s="37"/>
      <c r="R36" s="37"/>
      <c r="S36" s="37"/>
      <c r="T36" s="37"/>
      <c r="U36" s="37"/>
      <c r="V36" s="37"/>
      <c r="W36" s="49"/>
      <c r="X36" s="49"/>
      <c r="Y36" s="49"/>
      <c r="Z36" s="49"/>
      <c r="AA36" s="49"/>
      <c r="AB36" s="49"/>
      <c r="AC36" s="49"/>
      <c r="AD36" s="49"/>
      <c r="AE36" s="49"/>
      <c r="AF36" s="49"/>
      <c r="AG36" s="49"/>
      <c r="AH36" s="49"/>
      <c r="AI36" s="49"/>
      <c r="AJ36" s="49"/>
      <c r="AK36" s="49"/>
      <c r="AL36" s="49"/>
      <c r="AM36" s="49"/>
      <c r="AN36" s="49"/>
      <c r="AO36" s="49"/>
      <c r="AP36" s="49"/>
      <c r="AQ36" s="49"/>
      <c r="AR36" s="49"/>
      <c r="AS36" s="49"/>
    </row>
    <row r="37" spans="1:47" x14ac:dyDescent="0.25">
      <c r="A37" s="45"/>
      <c r="B37" s="45"/>
      <c r="C37" s="46" t="s">
        <v>67</v>
      </c>
      <c r="D37" s="121" t="s">
        <v>138</v>
      </c>
      <c r="E37" s="122"/>
      <c r="F37" s="122"/>
      <c r="G37" s="123"/>
      <c r="H37" s="106"/>
      <c r="I37" s="37"/>
      <c r="J37" s="37"/>
      <c r="K37" s="37"/>
      <c r="L37" s="37"/>
      <c r="M37" s="37"/>
      <c r="N37" s="37"/>
      <c r="O37" s="37"/>
      <c r="P37" s="37"/>
      <c r="Q37" s="37"/>
      <c r="R37" s="37"/>
      <c r="S37" s="37"/>
      <c r="T37" s="37"/>
      <c r="U37" s="37"/>
      <c r="V37" s="37"/>
      <c r="W37" s="37"/>
      <c r="X37" s="49"/>
      <c r="Y37" s="49"/>
      <c r="Z37" s="49"/>
      <c r="AA37" s="49"/>
      <c r="AB37" s="49"/>
      <c r="AC37" s="49"/>
      <c r="AD37" s="49"/>
      <c r="AE37" s="49"/>
      <c r="AF37" s="49"/>
      <c r="AG37" s="49"/>
      <c r="AH37" s="49"/>
      <c r="AI37" s="49"/>
      <c r="AJ37" s="49"/>
      <c r="AK37" s="49"/>
      <c r="AL37" s="49"/>
      <c r="AM37" s="49"/>
      <c r="AN37" s="49"/>
      <c r="AO37" s="49"/>
      <c r="AP37" s="49"/>
      <c r="AQ37" s="49"/>
      <c r="AR37" s="49"/>
      <c r="AS37" s="49"/>
    </row>
    <row r="38" spans="1:47" x14ac:dyDescent="0.25">
      <c r="A38" s="45"/>
      <c r="B38" s="45"/>
      <c r="C38" s="46" t="s">
        <v>68</v>
      </c>
      <c r="D38" s="121" t="s">
        <v>139</v>
      </c>
      <c r="E38" s="122"/>
      <c r="F38" s="122"/>
      <c r="G38" s="123"/>
      <c r="H38" s="106"/>
      <c r="I38" s="37"/>
      <c r="J38" s="37"/>
      <c r="K38" s="37"/>
      <c r="L38" s="37"/>
      <c r="M38" s="37"/>
      <c r="N38" s="37"/>
      <c r="O38" s="37"/>
      <c r="P38" s="37"/>
      <c r="Q38" s="37"/>
      <c r="R38" s="37"/>
      <c r="S38" s="37"/>
      <c r="T38" s="37"/>
      <c r="U38" s="37"/>
      <c r="V38" s="37"/>
      <c r="W38" s="37"/>
      <c r="X38" s="49"/>
      <c r="Y38" s="49"/>
      <c r="Z38" s="49"/>
      <c r="AA38" s="49"/>
      <c r="AB38" s="49"/>
      <c r="AC38" s="49"/>
      <c r="AD38" s="49"/>
      <c r="AE38" s="49"/>
      <c r="AF38" s="49"/>
      <c r="AG38" s="49"/>
      <c r="AH38" s="49"/>
      <c r="AI38" s="49"/>
      <c r="AJ38" s="49"/>
      <c r="AK38" s="49"/>
      <c r="AL38" s="49"/>
      <c r="AM38" s="49"/>
      <c r="AN38" s="49"/>
      <c r="AO38" s="49"/>
      <c r="AP38" s="49"/>
      <c r="AQ38" s="49"/>
      <c r="AR38" s="49"/>
      <c r="AS38" s="49"/>
    </row>
    <row r="39" spans="1:47" x14ac:dyDescent="0.25">
      <c r="A39" s="45"/>
      <c r="B39" s="45"/>
      <c r="C39" s="46" t="s">
        <v>69</v>
      </c>
      <c r="D39" s="121" t="s">
        <v>140</v>
      </c>
      <c r="E39" s="122"/>
      <c r="F39" s="122"/>
      <c r="G39" s="123"/>
      <c r="H39" s="106"/>
      <c r="I39" s="37"/>
      <c r="J39" s="37"/>
      <c r="K39" s="37"/>
      <c r="L39" s="37"/>
      <c r="M39" s="37"/>
      <c r="N39" s="37"/>
      <c r="O39" s="37"/>
      <c r="P39" s="37"/>
      <c r="Q39" s="37"/>
      <c r="R39" s="37"/>
      <c r="S39" s="37"/>
      <c r="T39" s="37"/>
      <c r="U39" s="37"/>
      <c r="V39" s="37"/>
      <c r="W39" s="37"/>
      <c r="X39" s="49"/>
      <c r="Y39" s="49"/>
      <c r="Z39" s="49"/>
      <c r="AA39" s="49"/>
      <c r="AB39" s="49"/>
      <c r="AC39" s="49"/>
      <c r="AD39" s="49"/>
      <c r="AE39" s="49"/>
      <c r="AF39" s="49"/>
      <c r="AG39" s="49"/>
      <c r="AH39" s="49"/>
      <c r="AI39" s="49"/>
      <c r="AJ39" s="49"/>
      <c r="AK39" s="49"/>
      <c r="AL39" s="49"/>
      <c r="AM39" s="49"/>
      <c r="AN39" s="49"/>
      <c r="AO39" s="49"/>
      <c r="AP39" s="49"/>
      <c r="AQ39" s="49"/>
      <c r="AR39" s="49"/>
      <c r="AS39" s="49"/>
    </row>
    <row r="40" spans="1:47" x14ac:dyDescent="0.25">
      <c r="A40" s="45"/>
      <c r="B40" s="45"/>
      <c r="C40" s="46" t="s">
        <v>70</v>
      </c>
      <c r="D40" s="121" t="s">
        <v>141</v>
      </c>
      <c r="E40" s="122"/>
      <c r="F40" s="122"/>
      <c r="G40" s="123"/>
      <c r="H40" s="106"/>
      <c r="I40" s="37"/>
      <c r="J40" s="37"/>
      <c r="K40" s="37"/>
      <c r="L40" s="37"/>
      <c r="M40" s="37"/>
      <c r="N40" s="37"/>
      <c r="O40" s="37"/>
      <c r="P40" s="37"/>
      <c r="Q40" s="37"/>
      <c r="R40" s="37"/>
      <c r="S40" s="37"/>
      <c r="T40" s="37"/>
      <c r="U40" s="37"/>
      <c r="V40" s="37"/>
      <c r="W40" s="37"/>
      <c r="X40" s="49"/>
      <c r="Y40" s="49"/>
      <c r="Z40" s="49"/>
      <c r="AA40" s="49"/>
      <c r="AB40" s="49"/>
      <c r="AC40" s="49"/>
      <c r="AD40" s="49"/>
      <c r="AE40" s="49"/>
      <c r="AF40" s="49"/>
      <c r="AG40" s="49"/>
      <c r="AH40" s="49"/>
      <c r="AI40" s="49"/>
      <c r="AJ40" s="49"/>
      <c r="AK40" s="49"/>
      <c r="AL40" s="49"/>
      <c r="AM40" s="49"/>
      <c r="AN40" s="49"/>
      <c r="AO40" s="49"/>
      <c r="AP40" s="49"/>
      <c r="AQ40" s="49"/>
      <c r="AR40" s="49"/>
      <c r="AS40" s="49"/>
    </row>
    <row r="41" spans="1:47" x14ac:dyDescent="0.25">
      <c r="A41" s="45"/>
      <c r="B41" s="45"/>
      <c r="C41" s="46" t="s">
        <v>71</v>
      </c>
      <c r="D41" s="121"/>
      <c r="E41" s="122"/>
      <c r="F41" s="122"/>
      <c r="G41" s="123"/>
      <c r="H41" s="106"/>
      <c r="I41" s="37"/>
      <c r="J41" s="37"/>
      <c r="K41" s="37"/>
      <c r="L41" s="37"/>
      <c r="M41" s="37"/>
      <c r="N41" s="37"/>
      <c r="O41" s="37"/>
      <c r="P41" s="37"/>
      <c r="Q41" s="37"/>
      <c r="R41" s="37"/>
      <c r="S41" s="37"/>
      <c r="T41" s="37"/>
      <c r="U41" s="37"/>
      <c r="V41" s="37"/>
      <c r="W41" s="37"/>
      <c r="X41" s="49"/>
      <c r="Y41" s="49"/>
      <c r="Z41" s="49"/>
      <c r="AA41" s="49"/>
      <c r="AB41" s="49"/>
      <c r="AC41" s="49"/>
      <c r="AD41" s="49"/>
      <c r="AE41" s="49"/>
      <c r="AF41" s="49"/>
      <c r="AG41" s="49"/>
      <c r="AH41" s="49"/>
      <c r="AI41" s="49"/>
      <c r="AJ41" s="49"/>
      <c r="AK41" s="49"/>
      <c r="AL41" s="49"/>
      <c r="AM41" s="49"/>
      <c r="AN41" s="49"/>
      <c r="AO41" s="49"/>
      <c r="AP41" s="49"/>
      <c r="AQ41" s="49"/>
      <c r="AR41" s="49"/>
      <c r="AS41" s="49"/>
    </row>
    <row r="42" spans="1:47" ht="22.5" x14ac:dyDescent="0.25">
      <c r="A42" s="45"/>
      <c r="B42" s="45"/>
      <c r="C42" s="55" t="s">
        <v>72</v>
      </c>
      <c r="D42" s="121"/>
      <c r="E42" s="122"/>
      <c r="F42" s="122"/>
      <c r="G42" s="123"/>
      <c r="H42" s="106"/>
      <c r="I42" s="37"/>
      <c r="J42" s="37"/>
      <c r="K42" s="37"/>
      <c r="L42" s="37"/>
      <c r="M42" s="37"/>
      <c r="N42" s="37"/>
      <c r="O42" s="37"/>
      <c r="P42" s="37"/>
      <c r="Q42" s="37"/>
      <c r="R42" s="37"/>
      <c r="S42" s="37"/>
      <c r="T42" s="37"/>
      <c r="U42" s="37"/>
      <c r="V42" s="37"/>
      <c r="W42" s="37"/>
      <c r="X42" s="49"/>
      <c r="Y42" s="49"/>
      <c r="Z42" s="49"/>
      <c r="AA42" s="49"/>
      <c r="AB42" s="49"/>
      <c r="AC42" s="49"/>
      <c r="AD42" s="49"/>
      <c r="AE42" s="49"/>
      <c r="AF42" s="49"/>
      <c r="AG42" s="49"/>
      <c r="AH42" s="49"/>
      <c r="AI42" s="49"/>
      <c r="AJ42" s="49"/>
      <c r="AK42" s="49"/>
      <c r="AL42" s="49"/>
      <c r="AM42" s="49"/>
      <c r="AN42" s="49"/>
      <c r="AO42" s="49"/>
      <c r="AP42" s="49"/>
      <c r="AQ42" s="49"/>
      <c r="AR42" s="49"/>
      <c r="AS42" s="49"/>
    </row>
    <row r="43" spans="1:47" s="26" customFormat="1" ht="22.5" x14ac:dyDescent="0.25">
      <c r="A43" s="45"/>
      <c r="B43" s="45"/>
      <c r="C43" s="55" t="s">
        <v>73</v>
      </c>
      <c r="D43" s="121"/>
      <c r="E43" s="122"/>
      <c r="F43" s="122"/>
      <c r="G43" s="123"/>
      <c r="H43" s="106"/>
      <c r="I43" s="37"/>
      <c r="J43" s="37"/>
      <c r="K43" s="37"/>
      <c r="L43" s="37"/>
      <c r="M43" s="37"/>
      <c r="N43" s="37"/>
      <c r="O43" s="37"/>
      <c r="P43" s="37"/>
      <c r="Q43" s="37"/>
      <c r="R43" s="37"/>
      <c r="S43" s="37"/>
      <c r="T43" s="37"/>
      <c r="U43" s="37"/>
      <c r="V43" s="37"/>
      <c r="W43" s="37"/>
      <c r="X43" s="50"/>
      <c r="Y43" s="50"/>
      <c r="Z43" s="50"/>
      <c r="AA43" s="50"/>
      <c r="AB43" s="50"/>
      <c r="AC43" s="50"/>
      <c r="AD43" s="50"/>
      <c r="AE43" s="50"/>
      <c r="AF43" s="50"/>
      <c r="AG43" s="50"/>
      <c r="AH43" s="50"/>
      <c r="AI43" s="50"/>
      <c r="AJ43" s="50"/>
      <c r="AK43" s="50"/>
      <c r="AL43" s="50"/>
      <c r="AM43" s="50"/>
      <c r="AN43" s="50"/>
      <c r="AO43" s="50"/>
      <c r="AP43" s="50"/>
      <c r="AQ43" s="50"/>
      <c r="AR43" s="50"/>
      <c r="AS43" s="50"/>
    </row>
    <row r="44" spans="1:47" x14ac:dyDescent="0.25">
      <c r="A44" s="45"/>
      <c r="B44" s="45"/>
      <c r="C44" s="46" t="s">
        <v>74</v>
      </c>
      <c r="D44" s="121" t="s">
        <v>142</v>
      </c>
      <c r="E44" s="122"/>
      <c r="F44" s="122"/>
      <c r="G44" s="123"/>
      <c r="H44" s="106"/>
      <c r="I44" s="37"/>
      <c r="J44" s="37"/>
      <c r="K44" s="37"/>
      <c r="L44" s="37"/>
      <c r="M44" s="37"/>
      <c r="N44" s="37"/>
      <c r="O44" s="37"/>
      <c r="P44" s="37"/>
      <c r="Q44" s="37"/>
      <c r="R44" s="37"/>
      <c r="S44" s="37"/>
      <c r="T44" s="37"/>
      <c r="U44" s="37"/>
      <c r="V44" s="37"/>
      <c r="W44" s="37"/>
      <c r="X44" s="39"/>
      <c r="Y44" s="39"/>
      <c r="Z44" s="39"/>
      <c r="AA44" s="39"/>
      <c r="AB44" s="39"/>
      <c r="AC44" s="39"/>
      <c r="AD44" s="39"/>
      <c r="AE44" s="39"/>
      <c r="AF44" s="39"/>
      <c r="AG44" s="39"/>
      <c r="AH44" s="39"/>
      <c r="AI44" s="39"/>
      <c r="AJ44" s="39"/>
      <c r="AK44" s="39"/>
      <c r="AL44" s="39"/>
      <c r="AM44" s="39"/>
      <c r="AN44" s="39"/>
      <c r="AO44" s="39"/>
      <c r="AP44" s="39"/>
      <c r="AQ44" s="39"/>
      <c r="AR44" s="39"/>
      <c r="AS44" s="39"/>
      <c r="AT44" s="27"/>
      <c r="AU44" s="27"/>
    </row>
    <row r="45" spans="1:47" ht="22.5" x14ac:dyDescent="0.25">
      <c r="A45" s="45"/>
      <c r="B45" s="45"/>
      <c r="C45" s="55" t="s">
        <v>75</v>
      </c>
      <c r="D45" s="121"/>
      <c r="E45" s="122"/>
      <c r="F45" s="122"/>
      <c r="G45" s="123"/>
      <c r="H45" s="106"/>
      <c r="I45" s="37"/>
      <c r="J45" s="37"/>
      <c r="K45" s="37"/>
      <c r="L45" s="37"/>
      <c r="M45" s="37"/>
      <c r="N45" s="37"/>
      <c r="O45" s="37"/>
      <c r="P45" s="37"/>
      <c r="Q45" s="37"/>
      <c r="R45" s="37"/>
      <c r="S45" s="37"/>
      <c r="T45" s="37"/>
      <c r="U45" s="37"/>
      <c r="V45" s="37"/>
      <c r="W45" s="37"/>
      <c r="X45" s="39"/>
      <c r="Y45" s="39"/>
      <c r="Z45" s="39"/>
      <c r="AA45" s="39"/>
      <c r="AB45" s="39"/>
      <c r="AC45" s="39"/>
      <c r="AD45" s="39"/>
      <c r="AE45" s="39"/>
      <c r="AF45" s="39"/>
      <c r="AG45" s="39"/>
      <c r="AH45" s="39"/>
      <c r="AI45" s="39"/>
      <c r="AJ45" s="39"/>
      <c r="AK45" s="39"/>
      <c r="AL45" s="39"/>
      <c r="AM45" s="39"/>
      <c r="AN45" s="39"/>
      <c r="AO45" s="39"/>
      <c r="AP45" s="39"/>
      <c r="AQ45" s="39"/>
      <c r="AR45" s="39"/>
      <c r="AS45" s="39"/>
      <c r="AT45" s="27"/>
      <c r="AU45" s="27"/>
    </row>
    <row r="46" spans="1:47" ht="33.75" x14ac:dyDescent="0.25">
      <c r="A46" s="45"/>
      <c r="B46" s="45"/>
      <c r="C46" s="55" t="s">
        <v>76</v>
      </c>
      <c r="D46" s="121"/>
      <c r="E46" s="122"/>
      <c r="F46" s="122"/>
      <c r="G46" s="123"/>
      <c r="H46" s="106"/>
      <c r="I46" s="37"/>
      <c r="J46" s="37"/>
      <c r="K46" s="37"/>
      <c r="L46" s="37"/>
      <c r="M46" s="37"/>
      <c r="N46" s="37"/>
      <c r="O46" s="37"/>
      <c r="P46" s="37"/>
      <c r="Q46" s="37"/>
      <c r="R46" s="37"/>
      <c r="S46" s="37"/>
      <c r="T46" s="37"/>
      <c r="U46" s="37"/>
      <c r="V46" s="37"/>
      <c r="W46" s="37"/>
      <c r="X46" s="39"/>
      <c r="Y46" s="39"/>
      <c r="Z46" s="39"/>
      <c r="AA46" s="39"/>
      <c r="AB46" s="39"/>
      <c r="AC46" s="39"/>
      <c r="AD46" s="39"/>
      <c r="AE46" s="39"/>
      <c r="AF46" s="39"/>
      <c r="AG46" s="39"/>
      <c r="AH46" s="39"/>
      <c r="AI46" s="39"/>
      <c r="AJ46" s="39"/>
      <c r="AK46" s="39"/>
      <c r="AL46" s="39"/>
      <c r="AM46" s="39"/>
      <c r="AN46" s="39"/>
      <c r="AO46" s="39"/>
      <c r="AP46" s="39"/>
      <c r="AQ46" s="39"/>
      <c r="AR46" s="39"/>
      <c r="AS46" s="39"/>
      <c r="AT46" s="27"/>
      <c r="AU46" s="27"/>
    </row>
    <row r="47" spans="1:47" ht="22.5" x14ac:dyDescent="0.25">
      <c r="A47" s="45"/>
      <c r="B47" s="45"/>
      <c r="C47" s="55" t="s">
        <v>77</v>
      </c>
      <c r="D47" s="121"/>
      <c r="E47" s="122"/>
      <c r="F47" s="122"/>
      <c r="G47" s="123"/>
      <c r="H47" s="106"/>
      <c r="I47" s="37"/>
      <c r="J47" s="37"/>
      <c r="K47" s="37"/>
      <c r="L47" s="37"/>
      <c r="M47" s="37"/>
      <c r="N47" s="37"/>
      <c r="O47" s="37"/>
      <c r="P47" s="37"/>
      <c r="Q47" s="37"/>
      <c r="R47" s="37"/>
      <c r="S47" s="37"/>
      <c r="T47" s="37"/>
      <c r="U47" s="37"/>
      <c r="V47" s="37"/>
      <c r="W47" s="37"/>
      <c r="X47" s="39"/>
      <c r="Y47" s="39"/>
      <c r="Z47" s="39"/>
      <c r="AA47" s="39"/>
      <c r="AB47" s="39"/>
      <c r="AC47" s="39"/>
      <c r="AD47" s="39"/>
      <c r="AE47" s="39"/>
      <c r="AF47" s="39"/>
      <c r="AG47" s="39"/>
      <c r="AH47" s="39"/>
      <c r="AI47" s="39"/>
      <c r="AJ47" s="39"/>
      <c r="AK47" s="39"/>
      <c r="AL47" s="39"/>
      <c r="AM47" s="39"/>
      <c r="AN47" s="39"/>
      <c r="AO47" s="39"/>
      <c r="AP47" s="39"/>
      <c r="AQ47" s="39"/>
      <c r="AR47" s="39"/>
      <c r="AS47" s="39"/>
      <c r="AT47" s="27"/>
      <c r="AU47" s="27"/>
    </row>
    <row r="48" spans="1:47" ht="22.5" x14ac:dyDescent="0.25">
      <c r="A48" s="61"/>
      <c r="B48" s="62"/>
      <c r="C48" s="55" t="s">
        <v>78</v>
      </c>
      <c r="D48" s="121"/>
      <c r="E48" s="122"/>
      <c r="F48" s="122"/>
      <c r="G48" s="123"/>
      <c r="H48" s="106"/>
      <c r="I48" s="24"/>
      <c r="J48" s="24"/>
      <c r="K48" s="24"/>
      <c r="L48" s="24"/>
      <c r="M48" s="24"/>
      <c r="N48" s="24"/>
      <c r="O48" s="24"/>
      <c r="P48" s="24"/>
      <c r="Q48" s="24"/>
      <c r="R48" s="24"/>
      <c r="S48" s="24"/>
      <c r="T48" s="24"/>
      <c r="U48" s="24"/>
      <c r="V48" s="24"/>
      <c r="W48" s="24"/>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row>
    <row r="49" spans="1:51" x14ac:dyDescent="0.25">
      <c r="A49" s="49"/>
      <c r="B49" s="49"/>
      <c r="C49" s="55" t="s">
        <v>79</v>
      </c>
      <c r="D49" s="121"/>
      <c r="E49" s="122"/>
      <c r="F49" s="122"/>
      <c r="G49" s="123"/>
      <c r="H49" s="106"/>
      <c r="AB49" s="39"/>
      <c r="AC49" s="39"/>
      <c r="AD49" s="39"/>
      <c r="AE49" s="39"/>
      <c r="AF49" s="39"/>
      <c r="AG49" s="39"/>
      <c r="AH49" s="39"/>
      <c r="AI49" s="39"/>
      <c r="AJ49" s="39"/>
      <c r="AK49" s="39"/>
      <c r="AL49" s="39"/>
      <c r="AM49" s="39"/>
      <c r="AN49" s="39"/>
      <c r="AO49" s="39"/>
      <c r="AP49" s="39"/>
      <c r="AQ49" s="39"/>
      <c r="AR49" s="39"/>
      <c r="AS49" s="39"/>
      <c r="AT49" s="39"/>
      <c r="AU49" s="39"/>
      <c r="AV49" s="27"/>
      <c r="AW49" s="27"/>
      <c r="AX49" s="27"/>
      <c r="AY49" s="27"/>
    </row>
    <row r="50" spans="1:51" ht="22.5" x14ac:dyDescent="0.25">
      <c r="A50" s="49"/>
      <c r="B50" s="49"/>
      <c r="C50" s="55" t="s">
        <v>80</v>
      </c>
      <c r="D50" s="121"/>
      <c r="E50" s="122"/>
      <c r="F50" s="122"/>
      <c r="G50" s="123"/>
      <c r="H50" s="106"/>
      <c r="AB50" s="39"/>
      <c r="AC50" s="39"/>
      <c r="AD50" s="39"/>
      <c r="AE50" s="39"/>
      <c r="AF50" s="39"/>
      <c r="AG50" s="39"/>
      <c r="AH50" s="39"/>
      <c r="AI50" s="39"/>
      <c r="AJ50" s="39"/>
      <c r="AK50" s="39"/>
      <c r="AL50" s="39"/>
      <c r="AM50" s="39"/>
      <c r="AN50" s="39"/>
      <c r="AO50" s="39"/>
      <c r="AP50" s="39"/>
      <c r="AQ50" s="39"/>
      <c r="AR50" s="39"/>
      <c r="AS50" s="27"/>
      <c r="AT50" s="27"/>
      <c r="AU50" s="27"/>
      <c r="AV50" s="27"/>
      <c r="AW50" s="27"/>
      <c r="AX50" s="27"/>
      <c r="AY50" s="27"/>
    </row>
    <row r="51" spans="1:51" ht="22.5" x14ac:dyDescent="0.25">
      <c r="A51" s="49"/>
      <c r="B51" s="49"/>
      <c r="C51" s="55" t="s">
        <v>81</v>
      </c>
      <c r="D51" s="121"/>
      <c r="E51" s="122"/>
      <c r="F51" s="122"/>
      <c r="G51" s="123"/>
      <c r="H51" s="106"/>
      <c r="AB51" s="39"/>
      <c r="AC51" s="39"/>
      <c r="AD51" s="39"/>
      <c r="AE51" s="39"/>
      <c r="AF51" s="39"/>
      <c r="AG51" s="39"/>
      <c r="AH51" s="39"/>
      <c r="AI51" s="39"/>
      <c r="AJ51" s="39"/>
      <c r="AK51" s="39"/>
      <c r="AL51" s="39"/>
      <c r="AM51" s="39"/>
      <c r="AN51" s="39"/>
      <c r="AO51" s="39"/>
      <c r="AP51" s="39"/>
      <c r="AQ51" s="39"/>
      <c r="AR51" s="39"/>
      <c r="AS51" s="27"/>
      <c r="AT51" s="27"/>
      <c r="AU51" s="27"/>
      <c r="AV51" s="27"/>
      <c r="AW51" s="27"/>
      <c r="AX51" s="27"/>
      <c r="AY51" s="27"/>
    </row>
    <row r="52" spans="1:51" ht="33.75" x14ac:dyDescent="0.25">
      <c r="A52" s="49"/>
      <c r="B52" s="49"/>
      <c r="C52" s="55" t="s">
        <v>82</v>
      </c>
      <c r="D52" s="121"/>
      <c r="E52" s="122"/>
      <c r="F52" s="122"/>
      <c r="G52" s="123"/>
      <c r="H52" s="106"/>
      <c r="AB52" s="39"/>
      <c r="AC52" s="39"/>
      <c r="AD52" s="39"/>
      <c r="AE52" s="39"/>
      <c r="AF52" s="39"/>
      <c r="AG52" s="39"/>
      <c r="AH52" s="39"/>
      <c r="AI52" s="39"/>
      <c r="AJ52" s="39"/>
      <c r="AK52" s="39"/>
      <c r="AL52" s="39"/>
      <c r="AM52" s="39"/>
      <c r="AN52" s="39"/>
      <c r="AO52" s="39"/>
      <c r="AP52" s="39"/>
      <c r="AQ52" s="39"/>
      <c r="AR52" s="39"/>
      <c r="AS52" s="27"/>
      <c r="AT52" s="27"/>
      <c r="AU52" s="27"/>
      <c r="AV52" s="27"/>
      <c r="AW52" s="27"/>
      <c r="AX52" s="27"/>
      <c r="AY52" s="27"/>
    </row>
    <row r="53" spans="1:51" x14ac:dyDescent="0.25">
      <c r="A53" s="49"/>
      <c r="B53" s="49"/>
      <c r="C53" s="55" t="s">
        <v>83</v>
      </c>
      <c r="D53" s="121"/>
      <c r="E53" s="122"/>
      <c r="F53" s="122"/>
      <c r="G53" s="123"/>
      <c r="H53" s="106"/>
      <c r="AB53" s="39"/>
      <c r="AC53" s="39"/>
      <c r="AD53" s="39"/>
      <c r="AE53" s="39"/>
      <c r="AF53" s="39"/>
      <c r="AG53" s="39"/>
      <c r="AH53" s="39"/>
      <c r="AI53" s="39"/>
      <c r="AJ53" s="39"/>
      <c r="AK53" s="39"/>
      <c r="AL53" s="39"/>
      <c r="AM53" s="39"/>
      <c r="AN53" s="39"/>
      <c r="AO53" s="39"/>
      <c r="AP53" s="39"/>
      <c r="AQ53" s="39"/>
      <c r="AR53" s="39"/>
      <c r="AS53" s="27"/>
      <c r="AT53" s="27"/>
      <c r="AU53" s="27"/>
      <c r="AV53" s="27"/>
      <c r="AW53" s="27"/>
      <c r="AX53" s="27"/>
      <c r="AY53" s="27"/>
    </row>
    <row r="54" spans="1:51" x14ac:dyDescent="0.25">
      <c r="A54" s="49"/>
      <c r="B54" s="49"/>
      <c r="C54" s="55" t="s">
        <v>84</v>
      </c>
      <c r="D54" s="121"/>
      <c r="E54" s="122"/>
      <c r="F54" s="122"/>
      <c r="G54" s="123"/>
      <c r="H54" s="106"/>
      <c r="AB54" s="39"/>
      <c r="AC54" s="39"/>
      <c r="AD54" s="39"/>
      <c r="AE54" s="39"/>
      <c r="AF54" s="39"/>
      <c r="AG54" s="39"/>
      <c r="AH54" s="39"/>
      <c r="AI54" s="39"/>
      <c r="AJ54" s="39"/>
      <c r="AK54" s="39"/>
      <c r="AL54" s="39"/>
      <c r="AM54" s="39"/>
      <c r="AN54" s="39"/>
      <c r="AO54" s="39"/>
      <c r="AP54" s="39"/>
      <c r="AQ54" s="39"/>
      <c r="AR54" s="39"/>
      <c r="AS54" s="27"/>
      <c r="AT54" s="27"/>
      <c r="AU54" s="27"/>
      <c r="AV54" s="27"/>
      <c r="AW54" s="27"/>
      <c r="AX54" s="27"/>
      <c r="AY54" s="27"/>
    </row>
    <row r="55" spans="1:51" x14ac:dyDescent="0.25">
      <c r="C55" s="55" t="s">
        <v>85</v>
      </c>
      <c r="D55" s="121" t="s">
        <v>94</v>
      </c>
      <c r="E55" s="122"/>
      <c r="F55" s="122"/>
      <c r="G55" s="123"/>
      <c r="H55" s="106"/>
      <c r="AB55" s="39"/>
      <c r="AC55" s="39"/>
      <c r="AD55" s="39"/>
      <c r="AE55" s="39"/>
      <c r="AF55" s="39"/>
      <c r="AG55" s="39"/>
      <c r="AH55" s="39"/>
      <c r="AI55" s="39"/>
      <c r="AJ55" s="39"/>
      <c r="AK55" s="39"/>
      <c r="AL55" s="39"/>
      <c r="AM55" s="39"/>
      <c r="AN55" s="39"/>
      <c r="AO55" s="39"/>
      <c r="AP55" s="39"/>
      <c r="AQ55" s="39"/>
      <c r="AR55" s="39"/>
      <c r="AS55" s="27"/>
      <c r="AT55" s="27"/>
      <c r="AU55" s="27"/>
      <c r="AV55" s="27"/>
      <c r="AW55" s="27"/>
      <c r="AX55" s="27"/>
      <c r="AY55" s="27"/>
    </row>
    <row r="56" spans="1:51" x14ac:dyDescent="0.25">
      <c r="C56" s="46" t="s">
        <v>363</v>
      </c>
      <c r="D56" s="121" t="s">
        <v>386</v>
      </c>
      <c r="E56" s="122"/>
      <c r="F56" s="122"/>
      <c r="G56" s="123"/>
      <c r="H56" s="106"/>
      <c r="AE56" s="39"/>
      <c r="AF56" s="39"/>
      <c r="AG56" s="39"/>
      <c r="AH56" s="39"/>
      <c r="AI56" s="39"/>
      <c r="AJ56" s="39"/>
      <c r="AK56" s="39"/>
      <c r="AL56" s="39"/>
      <c r="AM56" s="39"/>
      <c r="AN56" s="27"/>
      <c r="AO56" s="27"/>
      <c r="AP56" s="27"/>
      <c r="AQ56" s="27"/>
      <c r="AR56" s="27"/>
      <c r="AS56" s="27"/>
      <c r="AT56" s="27"/>
    </row>
    <row r="57" spans="1:51" x14ac:dyDescent="0.25">
      <c r="C57" s="46" t="s">
        <v>364</v>
      </c>
      <c r="D57" s="121">
        <v>5</v>
      </c>
      <c r="E57" s="122"/>
      <c r="F57" s="122"/>
      <c r="G57" s="123"/>
      <c r="H57" s="106"/>
      <c r="AE57" s="39"/>
      <c r="AF57" s="39"/>
      <c r="AG57" s="39"/>
      <c r="AH57" s="39"/>
      <c r="AI57" s="39"/>
      <c r="AJ57" s="39"/>
      <c r="AK57" s="39"/>
      <c r="AL57" s="39"/>
      <c r="AM57" s="39"/>
      <c r="AN57" s="27"/>
      <c r="AO57" s="27"/>
      <c r="AP57" s="27"/>
      <c r="AQ57" s="27"/>
      <c r="AR57" s="27"/>
      <c r="AS57" s="27"/>
      <c r="AT57" s="27"/>
    </row>
    <row r="58" spans="1:51" x14ac:dyDescent="0.25">
      <c r="C58" s="46" t="s">
        <v>365</v>
      </c>
      <c r="D58" s="121" t="s">
        <v>366</v>
      </c>
      <c r="E58" s="122"/>
      <c r="F58" s="122"/>
      <c r="G58" s="123"/>
      <c r="H58" s="106"/>
      <c r="AE58" s="39"/>
      <c r="AF58" s="39"/>
      <c r="AG58" s="39"/>
      <c r="AH58" s="39"/>
      <c r="AI58" s="39"/>
      <c r="AJ58" s="39"/>
      <c r="AK58" s="39"/>
      <c r="AL58" s="39"/>
      <c r="AM58" s="39"/>
      <c r="AN58" s="27"/>
      <c r="AO58" s="27"/>
      <c r="AP58" s="27"/>
      <c r="AQ58" s="27"/>
      <c r="AR58" s="27"/>
      <c r="AS58" s="27"/>
      <c r="AT58" s="27"/>
    </row>
    <row r="59" spans="1:51" ht="15" customHeight="1" x14ac:dyDescent="0.25">
      <c r="C59" s="46" t="s">
        <v>367</v>
      </c>
      <c r="D59" s="121" t="s">
        <v>382</v>
      </c>
      <c r="E59" s="122"/>
      <c r="F59" s="122"/>
      <c r="G59" s="123"/>
      <c r="H59" s="106"/>
      <c r="AE59" s="39"/>
      <c r="AF59" s="39"/>
      <c r="AG59" s="39"/>
      <c r="AH59" s="39"/>
      <c r="AI59" s="39"/>
      <c r="AJ59" s="39"/>
      <c r="AK59" s="39"/>
      <c r="AL59" s="39"/>
      <c r="AM59" s="39"/>
      <c r="AN59" s="27"/>
      <c r="AO59" s="27"/>
      <c r="AP59" s="27"/>
      <c r="AQ59" s="27"/>
      <c r="AR59" s="27"/>
      <c r="AS59" s="27"/>
      <c r="AT59" s="27"/>
    </row>
    <row r="60" spans="1:51" x14ac:dyDescent="0.25">
      <c r="AE60" s="39"/>
      <c r="AF60" s="39"/>
      <c r="AG60" s="39"/>
      <c r="AH60" s="39"/>
      <c r="AI60" s="39"/>
      <c r="AJ60" s="39"/>
      <c r="AK60" s="39"/>
      <c r="AL60" s="39"/>
      <c r="AM60" s="39"/>
      <c r="AN60" s="27"/>
      <c r="AO60" s="27"/>
      <c r="AP60" s="27"/>
      <c r="AQ60" s="27"/>
      <c r="AR60" s="27"/>
      <c r="AS60" s="27"/>
      <c r="AT60" s="27"/>
    </row>
    <row r="61" spans="1:51" ht="15.75" x14ac:dyDescent="0.25">
      <c r="C61" s="103" t="s">
        <v>368</v>
      </c>
      <c r="D61" s="104" t="s">
        <v>369</v>
      </c>
      <c r="AE61" s="39"/>
      <c r="AF61" s="39"/>
      <c r="AG61" s="39"/>
      <c r="AH61" s="39"/>
      <c r="AI61" s="39"/>
      <c r="AJ61" s="39"/>
      <c r="AK61" s="39"/>
      <c r="AL61" s="39"/>
      <c r="AM61" s="39"/>
      <c r="AN61" s="27"/>
      <c r="AO61" s="27"/>
      <c r="AP61" s="27"/>
      <c r="AQ61" s="27"/>
      <c r="AR61" s="27"/>
      <c r="AS61" s="27"/>
      <c r="AT61" s="27"/>
    </row>
    <row r="62" spans="1:51" x14ac:dyDescent="0.25">
      <c r="C62" s="46" t="s">
        <v>370</v>
      </c>
      <c r="D62" s="105">
        <v>30</v>
      </c>
      <c r="AB62" s="39"/>
      <c r="AC62" s="39"/>
      <c r="AD62" s="39"/>
      <c r="AE62" s="39"/>
      <c r="AF62" s="39"/>
      <c r="AG62" s="39"/>
      <c r="AH62" s="39"/>
      <c r="AI62" s="39"/>
      <c r="AJ62" s="39"/>
      <c r="AK62" s="39"/>
      <c r="AL62" s="39"/>
      <c r="AM62" s="39"/>
      <c r="AN62" s="39"/>
      <c r="AO62" s="39"/>
      <c r="AP62" s="39"/>
      <c r="AQ62" s="39"/>
      <c r="AR62" s="39"/>
      <c r="AS62" s="27"/>
      <c r="AT62" s="27"/>
      <c r="AU62" s="27"/>
      <c r="AV62" s="27"/>
      <c r="AW62" s="27"/>
      <c r="AX62" s="27"/>
      <c r="AY62" s="27"/>
    </row>
    <row r="63" spans="1:51" x14ac:dyDescent="0.25">
      <c r="C63" s="46" t="s">
        <v>371</v>
      </c>
      <c r="D63" s="105">
        <v>6</v>
      </c>
      <c r="L63" s="25"/>
      <c r="AF63" s="39"/>
      <c r="AG63" s="39"/>
      <c r="AH63" s="39"/>
      <c r="AI63" s="39"/>
      <c r="AJ63" s="39"/>
      <c r="AK63" s="39"/>
      <c r="AL63" s="39"/>
      <c r="AM63" s="39"/>
      <c r="AN63" s="39"/>
      <c r="AO63" s="39"/>
      <c r="AP63" s="39"/>
      <c r="AQ63" s="39"/>
      <c r="AR63" s="39"/>
      <c r="AS63" s="27"/>
      <c r="AT63" s="27"/>
      <c r="AU63" s="27"/>
      <c r="AV63" s="27"/>
      <c r="AW63" s="27"/>
      <c r="AX63" s="27"/>
      <c r="AY63" s="27"/>
    </row>
    <row r="64" spans="1:51" x14ac:dyDescent="0.25">
      <c r="C64" s="46" t="s">
        <v>372</v>
      </c>
      <c r="D64" s="105" t="s">
        <v>383</v>
      </c>
      <c r="L64" s="25"/>
      <c r="AF64" s="39"/>
      <c r="AG64" s="39"/>
      <c r="AH64" s="39"/>
      <c r="AI64" s="39"/>
      <c r="AJ64" s="39"/>
      <c r="AK64" s="39"/>
      <c r="AL64" s="39"/>
      <c r="AM64" s="39"/>
      <c r="AN64" s="39"/>
      <c r="AO64" s="39"/>
      <c r="AP64" s="39"/>
      <c r="AQ64" s="39"/>
      <c r="AR64" s="39"/>
      <c r="AS64" s="27"/>
      <c r="AT64" s="27"/>
      <c r="AU64" s="27"/>
      <c r="AV64" s="27"/>
      <c r="AW64" s="27"/>
      <c r="AX64" s="27"/>
      <c r="AY64" s="27"/>
    </row>
    <row r="65" spans="1:51" ht="56.25" x14ac:dyDescent="0.25">
      <c r="C65" s="46" t="s">
        <v>373</v>
      </c>
      <c r="D65" s="105" t="s">
        <v>384</v>
      </c>
      <c r="L65" s="25"/>
      <c r="AF65" s="39"/>
      <c r="AG65" s="39"/>
      <c r="AH65" s="39"/>
      <c r="AI65" s="39"/>
      <c r="AJ65" s="39"/>
      <c r="AK65" s="39"/>
      <c r="AL65" s="39"/>
      <c r="AM65" s="39"/>
      <c r="AN65" s="39"/>
      <c r="AO65" s="39"/>
      <c r="AP65" s="39"/>
      <c r="AQ65" s="39"/>
      <c r="AR65" s="39"/>
      <c r="AS65" s="27"/>
      <c r="AT65" s="27"/>
      <c r="AU65" s="27"/>
      <c r="AV65" s="27"/>
      <c r="AW65" s="27"/>
      <c r="AX65" s="27"/>
      <c r="AY65" s="27"/>
    </row>
    <row r="66" spans="1:51" x14ac:dyDescent="0.25">
      <c r="C66" s="46" t="s">
        <v>374</v>
      </c>
      <c r="D66" s="105" t="s">
        <v>385</v>
      </c>
      <c r="L66" s="25"/>
      <c r="AF66" s="39"/>
      <c r="AG66" s="39"/>
      <c r="AH66" s="39"/>
      <c r="AI66" s="39"/>
      <c r="AJ66" s="39"/>
      <c r="AK66" s="39"/>
      <c r="AL66" s="39"/>
      <c r="AM66" s="39"/>
      <c r="AN66" s="39"/>
      <c r="AO66" s="39"/>
      <c r="AP66" s="39"/>
      <c r="AQ66" s="39"/>
      <c r="AR66" s="39"/>
      <c r="AS66" s="27"/>
      <c r="AT66" s="27"/>
      <c r="AU66" s="27"/>
      <c r="AV66" s="27"/>
      <c r="AW66" s="27"/>
      <c r="AX66" s="27"/>
      <c r="AY66" s="27"/>
    </row>
    <row r="67" spans="1:51" x14ac:dyDescent="0.25">
      <c r="L67" s="25"/>
      <c r="AF67" s="39"/>
      <c r="AG67" s="39"/>
      <c r="AH67" s="39"/>
      <c r="AI67" s="39"/>
      <c r="AJ67" s="39"/>
      <c r="AK67" s="39"/>
      <c r="AL67" s="39"/>
      <c r="AM67" s="39"/>
      <c r="AN67" s="39"/>
      <c r="AO67" s="39"/>
      <c r="AP67" s="39"/>
      <c r="AQ67" s="39"/>
      <c r="AR67" s="39"/>
      <c r="AS67" s="27"/>
      <c r="AT67" s="27"/>
      <c r="AU67" s="27"/>
      <c r="AV67" s="27"/>
      <c r="AW67" s="27"/>
      <c r="AX67" s="27"/>
      <c r="AY67" s="27"/>
    </row>
    <row r="68" spans="1:51" x14ac:dyDescent="0.25">
      <c r="L68" s="25"/>
      <c r="AF68" s="39"/>
      <c r="AG68" s="39"/>
      <c r="AH68" s="39"/>
      <c r="AI68" s="39"/>
      <c r="AJ68" s="39"/>
      <c r="AK68" s="39"/>
      <c r="AL68" s="39"/>
      <c r="AM68" s="39"/>
      <c r="AN68" s="39"/>
      <c r="AO68" s="39"/>
      <c r="AP68" s="39"/>
      <c r="AQ68" s="39"/>
      <c r="AR68" s="39"/>
      <c r="AS68" s="27"/>
      <c r="AT68" s="27"/>
      <c r="AU68" s="27"/>
      <c r="AV68" s="27"/>
      <c r="AW68" s="27"/>
      <c r="AX68" s="27"/>
      <c r="AY68" s="27"/>
    </row>
    <row r="69" spans="1:51" ht="45" x14ac:dyDescent="0.25">
      <c r="A69" s="53" t="s">
        <v>5</v>
      </c>
      <c r="B69" s="54" t="s">
        <v>41</v>
      </c>
      <c r="C69" s="54" t="s">
        <v>6</v>
      </c>
      <c r="D69" s="53" t="s">
        <v>87</v>
      </c>
      <c r="E69" s="54" t="s">
        <v>7</v>
      </c>
      <c r="F69" s="54" t="s">
        <v>42</v>
      </c>
      <c r="G69" s="54" t="s">
        <v>43</v>
      </c>
      <c r="H69" s="54" t="s">
        <v>88</v>
      </c>
      <c r="I69" s="54" t="s">
        <v>9</v>
      </c>
      <c r="J69" s="58" t="s">
        <v>44</v>
      </c>
      <c r="K69" s="58" t="s">
        <v>20</v>
      </c>
      <c r="L69" s="54" t="s">
        <v>45</v>
      </c>
      <c r="M69" s="57" t="s">
        <v>8</v>
      </c>
      <c r="N69" s="59" t="s">
        <v>46</v>
      </c>
      <c r="O69" s="53" t="s">
        <v>255</v>
      </c>
      <c r="P69" s="53" t="s">
        <v>14</v>
      </c>
      <c r="Q69" s="53" t="s">
        <v>10</v>
      </c>
      <c r="R69" s="53" t="s">
        <v>89</v>
      </c>
      <c r="S69" s="53" t="s">
        <v>11</v>
      </c>
      <c r="T69" s="53" t="s">
        <v>12</v>
      </c>
      <c r="U69" s="59" t="s">
        <v>47</v>
      </c>
      <c r="V69" s="59" t="s">
        <v>13</v>
      </c>
      <c r="W69" s="59" t="s">
        <v>48</v>
      </c>
      <c r="X69" s="59" t="s">
        <v>49</v>
      </c>
      <c r="Y69" s="59" t="s">
        <v>90</v>
      </c>
      <c r="Z69" s="59" t="s">
        <v>50</v>
      </c>
      <c r="AA69" s="59" t="s">
        <v>51</v>
      </c>
      <c r="AB69" s="53" t="s">
        <v>243</v>
      </c>
      <c r="AC69" s="53" t="s">
        <v>244</v>
      </c>
      <c r="AD69" s="53" t="s">
        <v>245</v>
      </c>
      <c r="AE69" s="53" t="s">
        <v>246</v>
      </c>
      <c r="AF69" s="39"/>
      <c r="AG69" s="39"/>
      <c r="AH69" s="39"/>
      <c r="AI69" s="39"/>
      <c r="AJ69" s="39"/>
      <c r="AK69" s="39"/>
      <c r="AL69" s="39"/>
      <c r="AM69" s="39"/>
      <c r="AN69" s="39"/>
      <c r="AO69" s="39"/>
      <c r="AP69" s="39"/>
      <c r="AQ69" s="39"/>
      <c r="AR69" s="39"/>
      <c r="AS69" s="27"/>
      <c r="AT69" s="27"/>
      <c r="AU69" s="27"/>
      <c r="AV69" s="27"/>
      <c r="AW69" s="27"/>
      <c r="AX69" s="27"/>
      <c r="AY69" s="27"/>
    </row>
    <row r="70" spans="1:51" ht="33.75" x14ac:dyDescent="0.25">
      <c r="A70" s="42"/>
      <c r="B70" s="63" t="str">
        <f>$D$2</f>
        <v>HDCWD00P</v>
      </c>
      <c r="C70" s="64" t="str">
        <f>$D$1</f>
        <v>HR_SAP_ADDRESSES</v>
      </c>
      <c r="D70" s="29">
        <v>1</v>
      </c>
      <c r="E70" s="42" t="s">
        <v>143</v>
      </c>
      <c r="F70" s="43" t="s">
        <v>375</v>
      </c>
      <c r="G70" s="41" t="s">
        <v>163</v>
      </c>
      <c r="H70" s="43"/>
      <c r="I70" s="44"/>
      <c r="J70" s="44" t="s">
        <v>21</v>
      </c>
      <c r="K70" s="42" t="s">
        <v>22</v>
      </c>
      <c r="L70" s="42"/>
      <c r="M70" s="42" t="s">
        <v>381</v>
      </c>
      <c r="N70" s="29"/>
      <c r="O70" s="31"/>
      <c r="P70" s="29" t="s">
        <v>175</v>
      </c>
      <c r="Q70" s="42" t="s">
        <v>191</v>
      </c>
      <c r="R70" s="30">
        <v>1</v>
      </c>
      <c r="S70" s="42" t="s">
        <v>192</v>
      </c>
      <c r="T70" s="42" t="s">
        <v>192</v>
      </c>
      <c r="U70" s="29" t="s">
        <v>205</v>
      </c>
      <c r="V70" s="42" t="s">
        <v>218</v>
      </c>
      <c r="W70" s="42" t="s">
        <v>175</v>
      </c>
      <c r="X70" s="32" t="s">
        <v>227</v>
      </c>
      <c r="Y70" s="32"/>
      <c r="Z70" s="28" t="s">
        <v>163</v>
      </c>
      <c r="AA70" s="31"/>
      <c r="AB70" s="31" t="s">
        <v>138</v>
      </c>
      <c r="AC70" s="31" t="s">
        <v>137</v>
      </c>
      <c r="AD70" s="31" t="s">
        <v>376</v>
      </c>
      <c r="AE70" s="31" t="s">
        <v>377</v>
      </c>
      <c r="AF70" s="39"/>
      <c r="AG70" s="39"/>
      <c r="AH70" s="39"/>
      <c r="AI70" s="39"/>
      <c r="AJ70" s="39"/>
      <c r="AK70" s="39"/>
      <c r="AL70" s="39"/>
      <c r="AM70" s="39"/>
      <c r="AN70" s="39"/>
      <c r="AO70" s="39"/>
      <c r="AP70" s="39"/>
      <c r="AQ70" s="39"/>
      <c r="AR70" s="39"/>
      <c r="AS70" s="27"/>
      <c r="AT70" s="27"/>
      <c r="AU70" s="27"/>
      <c r="AV70" s="27"/>
      <c r="AW70" s="27"/>
      <c r="AX70" s="27"/>
      <c r="AY70" s="27"/>
    </row>
    <row r="71" spans="1:51" ht="22.5" x14ac:dyDescent="0.25">
      <c r="A71" s="42"/>
      <c r="B71" s="63" t="str">
        <f t="shared" ref="B71:B95" si="0">$D$2</f>
        <v>HDCWD00P</v>
      </c>
      <c r="C71" s="64" t="str">
        <f t="shared" ref="C71:C95" si="1">$D$1</f>
        <v>HR_SAP_ADDRESSES</v>
      </c>
      <c r="D71" s="29">
        <v>2</v>
      </c>
      <c r="E71" s="42" t="s">
        <v>144</v>
      </c>
      <c r="F71" s="43" t="s">
        <v>145</v>
      </c>
      <c r="G71" s="41" t="s">
        <v>164</v>
      </c>
      <c r="H71" s="43"/>
      <c r="I71" s="44"/>
      <c r="J71" s="44" t="s">
        <v>21</v>
      </c>
      <c r="K71" s="42" t="s">
        <v>22</v>
      </c>
      <c r="L71" s="42"/>
      <c r="M71" s="42" t="s">
        <v>171</v>
      </c>
      <c r="N71" s="29"/>
      <c r="O71" s="31"/>
      <c r="P71" s="29" t="s">
        <v>176</v>
      </c>
      <c r="Q71" s="42" t="s">
        <v>191</v>
      </c>
      <c r="R71" s="30">
        <v>2</v>
      </c>
      <c r="S71" s="42" t="s">
        <v>193</v>
      </c>
      <c r="T71" s="42" t="s">
        <v>194</v>
      </c>
      <c r="U71" s="29" t="s">
        <v>206</v>
      </c>
      <c r="V71" s="42" t="s">
        <v>206</v>
      </c>
      <c r="W71" s="42" t="s">
        <v>176</v>
      </c>
      <c r="X71" s="32" t="s">
        <v>228</v>
      </c>
      <c r="Y71" s="32"/>
      <c r="Z71" s="28" t="s">
        <v>164</v>
      </c>
      <c r="AA71" s="31"/>
      <c r="AB71" s="31" t="s">
        <v>138</v>
      </c>
      <c r="AC71" s="31" t="s">
        <v>137</v>
      </c>
      <c r="AD71" s="31" t="s">
        <v>376</v>
      </c>
      <c r="AE71" s="31" t="s">
        <v>377</v>
      </c>
      <c r="AF71" s="39"/>
      <c r="AG71" s="39"/>
      <c r="AH71" s="39"/>
      <c r="AI71" s="39"/>
      <c r="AJ71" s="39"/>
      <c r="AK71" s="39"/>
      <c r="AL71" s="39"/>
      <c r="AM71" s="39"/>
      <c r="AN71" s="39"/>
      <c r="AO71" s="39"/>
      <c r="AP71" s="39"/>
      <c r="AQ71" s="39"/>
      <c r="AR71" s="39"/>
      <c r="AS71" s="27"/>
      <c r="AT71" s="27"/>
      <c r="AU71" s="27"/>
      <c r="AV71" s="27"/>
      <c r="AW71" s="27"/>
      <c r="AX71" s="27"/>
      <c r="AY71" s="27"/>
    </row>
    <row r="72" spans="1:51" ht="45" x14ac:dyDescent="0.25">
      <c r="A72" s="42"/>
      <c r="B72" s="63" t="str">
        <f t="shared" si="0"/>
        <v>HDCWD00P</v>
      </c>
      <c r="C72" s="64" t="str">
        <f t="shared" si="1"/>
        <v>HR_SAP_ADDRESSES</v>
      </c>
      <c r="D72" s="29">
        <v>3</v>
      </c>
      <c r="E72" s="42" t="s">
        <v>146</v>
      </c>
      <c r="F72" s="43" t="s">
        <v>147</v>
      </c>
      <c r="G72" s="41" t="s">
        <v>165</v>
      </c>
      <c r="H72" s="43"/>
      <c r="I72" s="44"/>
      <c r="J72" s="44" t="s">
        <v>22</v>
      </c>
      <c r="K72" s="42" t="s">
        <v>21</v>
      </c>
      <c r="L72" s="42"/>
      <c r="M72" s="42" t="s">
        <v>171</v>
      </c>
      <c r="N72" s="29"/>
      <c r="O72" s="31"/>
      <c r="P72" s="29" t="s">
        <v>177</v>
      </c>
      <c r="Q72" s="42" t="s">
        <v>191</v>
      </c>
      <c r="R72" s="30">
        <v>3</v>
      </c>
      <c r="S72" s="42" t="s">
        <v>193</v>
      </c>
      <c r="T72" s="42" t="s">
        <v>195</v>
      </c>
      <c r="U72" s="29" t="s">
        <v>207</v>
      </c>
      <c r="V72" s="42" t="s">
        <v>219</v>
      </c>
      <c r="W72" s="42" t="s">
        <v>177</v>
      </c>
      <c r="X72" s="32" t="s">
        <v>229</v>
      </c>
      <c r="Y72" s="32"/>
      <c r="Z72" s="28" t="s">
        <v>165</v>
      </c>
      <c r="AA72" s="31"/>
      <c r="AB72" s="31" t="s">
        <v>138</v>
      </c>
      <c r="AC72" s="31" t="s">
        <v>137</v>
      </c>
      <c r="AD72" s="31" t="s">
        <v>376</v>
      </c>
      <c r="AE72" s="31" t="s">
        <v>377</v>
      </c>
      <c r="AF72" s="39"/>
      <c r="AG72" s="39"/>
      <c r="AH72" s="39"/>
      <c r="AI72" s="39"/>
      <c r="AJ72" s="39"/>
      <c r="AK72" s="39"/>
      <c r="AL72" s="39"/>
      <c r="AM72" s="39"/>
      <c r="AN72" s="39"/>
      <c r="AO72" s="39"/>
      <c r="AP72" s="39"/>
      <c r="AQ72" s="39"/>
      <c r="AR72" s="39"/>
      <c r="AS72" s="27"/>
      <c r="AT72" s="27"/>
      <c r="AU72" s="27"/>
      <c r="AV72" s="27"/>
      <c r="AW72" s="27"/>
      <c r="AX72" s="27"/>
      <c r="AY72" s="27"/>
    </row>
    <row r="73" spans="1:51" ht="22.5" x14ac:dyDescent="0.25">
      <c r="A73" s="42"/>
      <c r="B73" s="63" t="str">
        <f t="shared" si="0"/>
        <v>HDCWD00P</v>
      </c>
      <c r="C73" s="64" t="str">
        <f t="shared" si="1"/>
        <v>HR_SAP_ADDRESSES</v>
      </c>
      <c r="D73" s="29">
        <v>4</v>
      </c>
      <c r="E73" s="42" t="s">
        <v>148</v>
      </c>
      <c r="F73" s="43" t="s">
        <v>104</v>
      </c>
      <c r="G73" s="28" t="s">
        <v>166</v>
      </c>
      <c r="H73" s="42" t="s">
        <v>238</v>
      </c>
      <c r="I73" s="44"/>
      <c r="J73" s="44" t="s">
        <v>21</v>
      </c>
      <c r="K73" s="42" t="s">
        <v>22</v>
      </c>
      <c r="L73" s="42"/>
      <c r="M73" s="42" t="s">
        <v>361</v>
      </c>
      <c r="N73" s="29"/>
      <c r="O73" s="31"/>
      <c r="P73" s="29" t="s">
        <v>178</v>
      </c>
      <c r="Q73" s="42" t="s">
        <v>191</v>
      </c>
      <c r="R73" s="30">
        <v>4</v>
      </c>
      <c r="S73" s="42" t="s">
        <v>193</v>
      </c>
      <c r="T73" s="42" t="s">
        <v>196</v>
      </c>
      <c r="U73" s="29" t="s">
        <v>208</v>
      </c>
      <c r="V73" s="42" t="s">
        <v>220</v>
      </c>
      <c r="W73" s="42" t="s">
        <v>178</v>
      </c>
      <c r="X73" s="32" t="s">
        <v>230</v>
      </c>
      <c r="Y73" s="32" t="s">
        <v>237</v>
      </c>
      <c r="Z73" s="28">
        <v>20161231</v>
      </c>
      <c r="AA73" s="31"/>
      <c r="AB73" s="31" t="s">
        <v>138</v>
      </c>
      <c r="AC73" s="31" t="s">
        <v>137</v>
      </c>
      <c r="AD73" s="31" t="s">
        <v>376</v>
      </c>
      <c r="AE73" s="31" t="s">
        <v>377</v>
      </c>
      <c r="AF73" s="39"/>
      <c r="AG73" s="39"/>
      <c r="AH73" s="39"/>
      <c r="AI73" s="39"/>
      <c r="AJ73" s="39"/>
      <c r="AK73" s="39"/>
      <c r="AL73" s="39"/>
      <c r="AM73" s="39"/>
      <c r="AN73" s="39"/>
      <c r="AO73" s="39"/>
      <c r="AP73" s="39"/>
      <c r="AQ73" s="39"/>
      <c r="AR73" s="39"/>
      <c r="AS73" s="27"/>
      <c r="AT73" s="27"/>
      <c r="AU73" s="27"/>
      <c r="AV73" s="27"/>
      <c r="AW73" s="27"/>
      <c r="AX73" s="27"/>
      <c r="AY73" s="27"/>
    </row>
    <row r="74" spans="1:51" ht="22.5" x14ac:dyDescent="0.25">
      <c r="A74" s="42"/>
      <c r="B74" s="63" t="str">
        <f t="shared" si="0"/>
        <v>HDCWD00P</v>
      </c>
      <c r="C74" s="64" t="str">
        <f t="shared" si="1"/>
        <v>HR_SAP_ADDRESSES</v>
      </c>
      <c r="D74" s="29">
        <v>5</v>
      </c>
      <c r="E74" s="42" t="s">
        <v>149</v>
      </c>
      <c r="F74" s="43" t="s">
        <v>104</v>
      </c>
      <c r="G74" s="31" t="s">
        <v>166</v>
      </c>
      <c r="H74" s="42" t="s">
        <v>238</v>
      </c>
      <c r="I74" s="44"/>
      <c r="J74" s="44" t="s">
        <v>21</v>
      </c>
      <c r="K74" s="42" t="s">
        <v>22</v>
      </c>
      <c r="L74" s="42"/>
      <c r="M74" s="42" t="s">
        <v>361</v>
      </c>
      <c r="N74" s="29"/>
      <c r="O74" s="31"/>
      <c r="P74" s="29" t="s">
        <v>179</v>
      </c>
      <c r="Q74" s="42" t="s">
        <v>191</v>
      </c>
      <c r="R74" s="30">
        <v>5</v>
      </c>
      <c r="S74" s="42" t="s">
        <v>193</v>
      </c>
      <c r="T74" s="42" t="s">
        <v>197</v>
      </c>
      <c r="U74" s="29" t="s">
        <v>209</v>
      </c>
      <c r="V74" s="42" t="s">
        <v>221</v>
      </c>
      <c r="W74" s="42" t="s">
        <v>179</v>
      </c>
      <c r="X74" s="32" t="s">
        <v>230</v>
      </c>
      <c r="Y74" s="32" t="s">
        <v>237</v>
      </c>
      <c r="Z74" s="31">
        <v>20160101</v>
      </c>
      <c r="AA74" s="31"/>
      <c r="AB74" s="31" t="s">
        <v>138</v>
      </c>
      <c r="AC74" s="31" t="s">
        <v>137</v>
      </c>
      <c r="AD74" s="31" t="s">
        <v>376</v>
      </c>
      <c r="AE74" s="31" t="s">
        <v>377</v>
      </c>
      <c r="AF74" s="39"/>
      <c r="AG74" s="39"/>
      <c r="AH74" s="39"/>
      <c r="AI74" s="39"/>
      <c r="AJ74" s="39"/>
      <c r="AK74" s="39"/>
      <c r="AL74" s="39"/>
      <c r="AM74" s="39"/>
      <c r="AN74" s="39"/>
      <c r="AO74" s="39"/>
      <c r="AP74" s="39"/>
      <c r="AQ74" s="39"/>
      <c r="AR74" s="39"/>
      <c r="AS74" s="27"/>
      <c r="AT74" s="27"/>
      <c r="AU74" s="27"/>
      <c r="AV74" s="27"/>
      <c r="AW74" s="27"/>
      <c r="AX74" s="27"/>
      <c r="AY74" s="27"/>
    </row>
    <row r="75" spans="1:51" ht="56.25" x14ac:dyDescent="0.25">
      <c r="A75" s="42"/>
      <c r="B75" s="63" t="str">
        <f t="shared" si="0"/>
        <v>HDCWD00P</v>
      </c>
      <c r="C75" s="64" t="str">
        <f t="shared" si="1"/>
        <v>HR_SAP_ADDRESSES</v>
      </c>
      <c r="D75" s="29">
        <v>6</v>
      </c>
      <c r="E75" s="42" t="s">
        <v>150</v>
      </c>
      <c r="F75" s="43" t="s">
        <v>151</v>
      </c>
      <c r="G75" s="31" t="s">
        <v>165</v>
      </c>
      <c r="H75" s="43"/>
      <c r="I75" s="44"/>
      <c r="J75" s="44" t="s">
        <v>22</v>
      </c>
      <c r="K75" s="42" t="s">
        <v>21</v>
      </c>
      <c r="L75" s="42"/>
      <c r="M75" s="42" t="s">
        <v>171</v>
      </c>
      <c r="N75" s="29"/>
      <c r="O75" s="31"/>
      <c r="P75" s="29" t="s">
        <v>180</v>
      </c>
      <c r="Q75" s="42" t="s">
        <v>191</v>
      </c>
      <c r="R75" s="30">
        <v>6</v>
      </c>
      <c r="S75" s="42" t="s">
        <v>193</v>
      </c>
      <c r="T75" s="42" t="s">
        <v>198</v>
      </c>
      <c r="U75" s="29" t="s">
        <v>210</v>
      </c>
      <c r="V75" s="42" t="s">
        <v>222</v>
      </c>
      <c r="W75" s="42" t="s">
        <v>180</v>
      </c>
      <c r="X75" s="32" t="s">
        <v>231</v>
      </c>
      <c r="Y75" s="32"/>
      <c r="Z75" s="31" t="s">
        <v>165</v>
      </c>
      <c r="AA75" s="31"/>
      <c r="AB75" s="31" t="s">
        <v>138</v>
      </c>
      <c r="AC75" s="31" t="s">
        <v>137</v>
      </c>
      <c r="AD75" s="31" t="s">
        <v>376</v>
      </c>
      <c r="AE75" s="31" t="s">
        <v>377</v>
      </c>
      <c r="AF75" s="39"/>
      <c r="AG75" s="39"/>
      <c r="AH75" s="39"/>
      <c r="AI75" s="39"/>
      <c r="AJ75" s="39"/>
      <c r="AK75" s="39"/>
      <c r="AL75" s="39"/>
      <c r="AM75" s="39"/>
      <c r="AN75" s="39"/>
      <c r="AO75" s="39"/>
      <c r="AP75" s="39"/>
      <c r="AQ75" s="39"/>
      <c r="AR75" s="39"/>
      <c r="AS75" s="27"/>
      <c r="AT75" s="27"/>
      <c r="AU75" s="27"/>
      <c r="AV75" s="27"/>
      <c r="AW75" s="27"/>
      <c r="AX75" s="27"/>
      <c r="AY75" s="27"/>
    </row>
    <row r="76" spans="1:51" ht="22.5" x14ac:dyDescent="0.25">
      <c r="A76" s="42"/>
      <c r="B76" s="63" t="str">
        <f t="shared" si="0"/>
        <v>HDCWD00P</v>
      </c>
      <c r="C76" s="64" t="str">
        <f t="shared" si="1"/>
        <v>HR_SAP_ADDRESSES</v>
      </c>
      <c r="D76" s="29">
        <v>7</v>
      </c>
      <c r="E76" s="67" t="s">
        <v>152</v>
      </c>
      <c r="F76" s="43" t="s">
        <v>104</v>
      </c>
      <c r="G76" s="42" t="s">
        <v>166</v>
      </c>
      <c r="H76" s="42" t="s">
        <v>105</v>
      </c>
      <c r="I76" s="44"/>
      <c r="J76" s="42" t="s">
        <v>21</v>
      </c>
      <c r="K76" s="42" t="s">
        <v>21</v>
      </c>
      <c r="L76" s="42"/>
      <c r="M76" s="42" t="s">
        <v>361</v>
      </c>
      <c r="N76" s="29"/>
      <c r="O76" s="31"/>
      <c r="P76" s="29" t="s">
        <v>181</v>
      </c>
      <c r="Q76" s="42" t="s">
        <v>191</v>
      </c>
      <c r="R76" s="30">
        <v>7</v>
      </c>
      <c r="S76" s="42" t="s">
        <v>193</v>
      </c>
      <c r="T76" s="42" t="s">
        <v>199</v>
      </c>
      <c r="U76" s="29" t="s">
        <v>211</v>
      </c>
      <c r="V76" s="42" t="s">
        <v>223</v>
      </c>
      <c r="W76" s="42" t="s">
        <v>181</v>
      </c>
      <c r="X76" s="32" t="s">
        <v>230</v>
      </c>
      <c r="Y76" s="32" t="s">
        <v>237</v>
      </c>
      <c r="Z76" s="42">
        <v>20170317</v>
      </c>
      <c r="AA76" s="31"/>
      <c r="AB76" s="31" t="s">
        <v>138</v>
      </c>
      <c r="AC76" s="31" t="s">
        <v>137</v>
      </c>
      <c r="AD76" s="31" t="s">
        <v>376</v>
      </c>
      <c r="AE76" s="31" t="s">
        <v>377</v>
      </c>
      <c r="AF76" s="39"/>
      <c r="AG76" s="39"/>
      <c r="AH76" s="39"/>
      <c r="AI76" s="39"/>
      <c r="AJ76" s="39"/>
      <c r="AK76" s="39"/>
      <c r="AL76" s="39"/>
      <c r="AM76" s="39"/>
      <c r="AN76" s="39"/>
      <c r="AO76" s="39"/>
      <c r="AP76" s="39"/>
      <c r="AQ76" s="39"/>
      <c r="AR76" s="39"/>
      <c r="AS76" s="27"/>
      <c r="AT76" s="27"/>
      <c r="AU76" s="27"/>
      <c r="AV76" s="27"/>
      <c r="AW76" s="27"/>
      <c r="AX76" s="27"/>
      <c r="AY76" s="27"/>
    </row>
    <row r="77" spans="1:51" ht="33.75" x14ac:dyDescent="0.25">
      <c r="A77" s="42"/>
      <c r="B77" s="63" t="str">
        <f t="shared" si="0"/>
        <v>HDCWD00P</v>
      </c>
      <c r="C77" s="64" t="str">
        <f t="shared" si="1"/>
        <v>HR_SAP_ADDRESSES</v>
      </c>
      <c r="D77" s="29">
        <v>8</v>
      </c>
      <c r="E77" s="42" t="s">
        <v>153</v>
      </c>
      <c r="F77" s="43" t="s">
        <v>380</v>
      </c>
      <c r="G77" s="31" t="s">
        <v>163</v>
      </c>
      <c r="H77" s="43"/>
      <c r="I77" s="44"/>
      <c r="J77" s="44" t="s">
        <v>21</v>
      </c>
      <c r="K77" s="44" t="s">
        <v>21</v>
      </c>
      <c r="L77" s="42"/>
      <c r="M77" s="42" t="s">
        <v>378</v>
      </c>
      <c r="N77" s="29"/>
      <c r="O77" s="31"/>
      <c r="P77" s="29" t="s">
        <v>379</v>
      </c>
      <c r="Q77" s="42" t="s">
        <v>191</v>
      </c>
      <c r="R77" s="30">
        <v>8</v>
      </c>
      <c r="S77" s="42" t="s">
        <v>193</v>
      </c>
      <c r="T77" s="42" t="s">
        <v>200</v>
      </c>
      <c r="U77" s="29" t="s">
        <v>212</v>
      </c>
      <c r="V77" s="42" t="s">
        <v>224</v>
      </c>
      <c r="W77" s="42" t="s">
        <v>379</v>
      </c>
      <c r="X77" s="32" t="s">
        <v>232</v>
      </c>
      <c r="Y77" s="32"/>
      <c r="Z77" s="31">
        <v>12345</v>
      </c>
      <c r="AA77" s="33"/>
      <c r="AB77" s="31" t="s">
        <v>138</v>
      </c>
      <c r="AC77" s="31" t="s">
        <v>137</v>
      </c>
      <c r="AD77" s="31" t="s">
        <v>376</v>
      </c>
      <c r="AE77" s="31" t="s">
        <v>377</v>
      </c>
      <c r="AF77" s="27"/>
      <c r="AG77" s="27"/>
      <c r="AH77" s="27"/>
      <c r="AI77" s="27"/>
      <c r="AJ77" s="27"/>
      <c r="AK77" s="27"/>
      <c r="AL77" s="27"/>
      <c r="AM77" s="27"/>
      <c r="AN77" s="27"/>
      <c r="AO77" s="27"/>
      <c r="AP77" s="27"/>
      <c r="AQ77" s="27"/>
      <c r="AR77" s="27"/>
      <c r="AS77" s="27"/>
      <c r="AT77" s="27"/>
      <c r="AU77" s="27"/>
    </row>
    <row r="78" spans="1:51" ht="22.5" x14ac:dyDescent="0.25">
      <c r="A78" s="42"/>
      <c r="B78" s="63" t="str">
        <f t="shared" si="0"/>
        <v>HDCWD00P</v>
      </c>
      <c r="C78" s="63" t="str">
        <f t="shared" si="1"/>
        <v>HR_SAP_ADDRESSES</v>
      </c>
      <c r="D78" s="29">
        <v>9</v>
      </c>
      <c r="E78" s="42" t="s">
        <v>154</v>
      </c>
      <c r="F78" s="43" t="s">
        <v>145</v>
      </c>
      <c r="G78" s="31" t="s">
        <v>164</v>
      </c>
      <c r="H78" s="43"/>
      <c r="I78" s="44"/>
      <c r="J78" s="44" t="s">
        <v>21</v>
      </c>
      <c r="K78" s="44" t="s">
        <v>22</v>
      </c>
      <c r="L78" s="42"/>
      <c r="M78" s="42" t="s">
        <v>171</v>
      </c>
      <c r="N78" s="29"/>
      <c r="O78" s="31"/>
      <c r="P78" s="29" t="s">
        <v>182</v>
      </c>
      <c r="Q78" s="42" t="s">
        <v>191</v>
      </c>
      <c r="R78" s="30">
        <v>9</v>
      </c>
      <c r="S78" s="34" t="s">
        <v>193</v>
      </c>
      <c r="T78" s="42" t="s">
        <v>201</v>
      </c>
      <c r="U78" s="29" t="s">
        <v>213</v>
      </c>
      <c r="V78" s="42" t="s">
        <v>225</v>
      </c>
      <c r="W78" s="68" t="s">
        <v>182</v>
      </c>
      <c r="X78" s="32" t="s">
        <v>228</v>
      </c>
      <c r="Y78" s="32"/>
      <c r="Z78" s="31" t="s">
        <v>164</v>
      </c>
      <c r="AA78" s="31"/>
      <c r="AB78" s="31" t="s">
        <v>138</v>
      </c>
      <c r="AC78" s="31" t="s">
        <v>137</v>
      </c>
      <c r="AD78" s="31" t="s">
        <v>376</v>
      </c>
      <c r="AE78" s="31" t="s">
        <v>377</v>
      </c>
      <c r="AF78" s="27"/>
      <c r="AG78" s="27"/>
      <c r="AH78" s="27"/>
      <c r="AI78" s="27"/>
      <c r="AJ78" s="27"/>
      <c r="AK78" s="27"/>
      <c r="AL78" s="27"/>
      <c r="AM78" s="27"/>
      <c r="AN78" s="27"/>
      <c r="AO78" s="27"/>
      <c r="AP78" s="27"/>
      <c r="AQ78" s="27"/>
      <c r="AR78" s="27"/>
      <c r="AS78" s="27"/>
      <c r="AT78" s="27"/>
      <c r="AU78" s="27"/>
    </row>
    <row r="79" spans="1:51" ht="22.5" x14ac:dyDescent="0.25">
      <c r="A79" s="42"/>
      <c r="B79" s="63" t="str">
        <f t="shared" si="0"/>
        <v>HDCWD00P</v>
      </c>
      <c r="C79" s="63" t="str">
        <f t="shared" si="1"/>
        <v>HR_SAP_ADDRESSES</v>
      </c>
      <c r="D79" s="29">
        <v>10</v>
      </c>
      <c r="E79" s="42" t="s">
        <v>155</v>
      </c>
      <c r="F79" s="43" t="s">
        <v>156</v>
      </c>
      <c r="G79" s="31" t="s">
        <v>167</v>
      </c>
      <c r="H79" s="43"/>
      <c r="I79" s="44"/>
      <c r="J79" s="44" t="s">
        <v>21</v>
      </c>
      <c r="K79" s="44" t="s">
        <v>21</v>
      </c>
      <c r="L79" s="42"/>
      <c r="M79" s="42" t="s">
        <v>171</v>
      </c>
      <c r="N79" s="29"/>
      <c r="O79" s="31"/>
      <c r="P79" s="29" t="s">
        <v>183</v>
      </c>
      <c r="Q79" s="42" t="s">
        <v>191</v>
      </c>
      <c r="R79" s="30">
        <v>10</v>
      </c>
      <c r="S79" s="34" t="s">
        <v>193</v>
      </c>
      <c r="T79" s="42" t="s">
        <v>201</v>
      </c>
      <c r="U79" s="29" t="s">
        <v>214</v>
      </c>
      <c r="V79" s="42" t="s">
        <v>226</v>
      </c>
      <c r="W79" s="31" t="s">
        <v>183</v>
      </c>
      <c r="X79" s="32" t="s">
        <v>233</v>
      </c>
      <c r="Y79" s="32"/>
      <c r="Z79" s="31" t="s">
        <v>167</v>
      </c>
      <c r="AA79" s="31"/>
      <c r="AB79" s="31" t="s">
        <v>138</v>
      </c>
      <c r="AC79" s="31" t="s">
        <v>137</v>
      </c>
      <c r="AD79" s="31" t="s">
        <v>376</v>
      </c>
      <c r="AE79" s="31" t="s">
        <v>377</v>
      </c>
      <c r="AF79" s="27"/>
      <c r="AG79" s="27"/>
      <c r="AH79" s="27"/>
      <c r="AI79" s="27"/>
      <c r="AJ79" s="27"/>
      <c r="AK79" s="27"/>
      <c r="AL79" s="27"/>
      <c r="AM79" s="27"/>
      <c r="AN79" s="27"/>
      <c r="AO79" s="27"/>
      <c r="AP79" s="27"/>
      <c r="AQ79" s="27"/>
      <c r="AR79" s="27"/>
      <c r="AS79" s="27"/>
      <c r="AT79" s="27"/>
      <c r="AU79" s="27"/>
    </row>
    <row r="80" spans="1:51" ht="22.5" x14ac:dyDescent="0.25">
      <c r="A80" s="42"/>
      <c r="B80" s="63" t="str">
        <f t="shared" si="0"/>
        <v>HDCWD00P</v>
      </c>
      <c r="C80" s="63" t="str">
        <f t="shared" si="1"/>
        <v>HR_SAP_ADDRESSES</v>
      </c>
      <c r="D80" s="29">
        <v>11</v>
      </c>
      <c r="E80" s="42" t="s">
        <v>157</v>
      </c>
      <c r="F80" s="43" t="s">
        <v>156</v>
      </c>
      <c r="G80" s="31" t="s">
        <v>168</v>
      </c>
      <c r="H80" s="43"/>
      <c r="I80" s="44"/>
      <c r="J80" s="44" t="s">
        <v>22</v>
      </c>
      <c r="K80" s="44" t="s">
        <v>21</v>
      </c>
      <c r="L80" s="42"/>
      <c r="M80" s="42" t="s">
        <v>171</v>
      </c>
      <c r="N80" s="29"/>
      <c r="O80" s="31" t="s">
        <v>137</v>
      </c>
      <c r="P80" s="29" t="s">
        <v>184</v>
      </c>
      <c r="Q80" s="42" t="s">
        <v>191</v>
      </c>
      <c r="R80" s="30">
        <v>11</v>
      </c>
      <c r="S80" s="34" t="s">
        <v>193</v>
      </c>
      <c r="T80" s="42" t="s">
        <v>202</v>
      </c>
      <c r="U80" s="29" t="s">
        <v>215</v>
      </c>
      <c r="V80" s="42" t="s">
        <v>184</v>
      </c>
      <c r="W80" s="31" t="s">
        <v>184</v>
      </c>
      <c r="X80" s="32" t="s">
        <v>233</v>
      </c>
      <c r="Y80" s="32"/>
      <c r="Z80" s="31" t="s">
        <v>168</v>
      </c>
      <c r="AA80" s="31"/>
      <c r="AB80" s="31" t="s">
        <v>138</v>
      </c>
      <c r="AC80" s="31" t="s">
        <v>137</v>
      </c>
      <c r="AD80" s="31" t="s">
        <v>376</v>
      </c>
      <c r="AE80" s="31" t="s">
        <v>377</v>
      </c>
      <c r="AF80" s="27"/>
      <c r="AG80" s="27"/>
      <c r="AH80" s="27"/>
      <c r="AI80" s="27"/>
      <c r="AJ80" s="27"/>
      <c r="AK80" s="27"/>
      <c r="AL80" s="27"/>
      <c r="AM80" s="27"/>
      <c r="AN80" s="27"/>
      <c r="AO80" s="27"/>
      <c r="AP80" s="27"/>
      <c r="AQ80" s="27"/>
      <c r="AR80" s="27"/>
      <c r="AS80" s="27"/>
      <c r="AT80" s="27"/>
      <c r="AU80" s="27"/>
    </row>
    <row r="81" spans="1:47" ht="22.5" x14ac:dyDescent="0.25">
      <c r="A81" s="42"/>
      <c r="B81" s="63" t="str">
        <f t="shared" si="0"/>
        <v>HDCWD00P</v>
      </c>
      <c r="C81" s="63" t="str">
        <f t="shared" si="1"/>
        <v>HR_SAP_ADDRESSES</v>
      </c>
      <c r="D81" s="29">
        <v>12</v>
      </c>
      <c r="E81" s="42" t="s">
        <v>158</v>
      </c>
      <c r="F81" s="43" t="s">
        <v>159</v>
      </c>
      <c r="G81" s="31" t="s">
        <v>169</v>
      </c>
      <c r="H81" s="43"/>
      <c r="I81" s="44"/>
      <c r="J81" s="44" t="s">
        <v>22</v>
      </c>
      <c r="K81" s="44" t="s">
        <v>21</v>
      </c>
      <c r="L81" s="42"/>
      <c r="M81" s="42" t="s">
        <v>171</v>
      </c>
      <c r="N81" s="29"/>
      <c r="O81" s="31" t="s">
        <v>137</v>
      </c>
      <c r="P81" s="29" t="s">
        <v>185</v>
      </c>
      <c r="Q81" s="42" t="s">
        <v>191</v>
      </c>
      <c r="R81" s="30">
        <v>12</v>
      </c>
      <c r="S81" s="34" t="s">
        <v>193</v>
      </c>
      <c r="T81" s="42" t="s">
        <v>203</v>
      </c>
      <c r="U81" s="29" t="s">
        <v>216</v>
      </c>
      <c r="V81" s="42" t="s">
        <v>185</v>
      </c>
      <c r="W81" s="31" t="s">
        <v>185</v>
      </c>
      <c r="X81" s="32" t="s">
        <v>234</v>
      </c>
      <c r="Y81" s="32"/>
      <c r="Z81" s="31" t="s">
        <v>169</v>
      </c>
      <c r="AA81" s="31"/>
      <c r="AB81" s="31" t="s">
        <v>138</v>
      </c>
      <c r="AC81" s="31" t="s">
        <v>137</v>
      </c>
      <c r="AD81" s="31" t="s">
        <v>376</v>
      </c>
      <c r="AE81" s="31" t="s">
        <v>377</v>
      </c>
      <c r="AF81" s="27"/>
      <c r="AG81" s="27"/>
      <c r="AH81" s="27"/>
      <c r="AI81" s="27"/>
      <c r="AJ81" s="27"/>
      <c r="AK81" s="27"/>
      <c r="AL81" s="27"/>
      <c r="AM81" s="27"/>
      <c r="AN81" s="27"/>
      <c r="AO81" s="27"/>
      <c r="AP81" s="27"/>
      <c r="AQ81" s="27"/>
      <c r="AR81" s="27"/>
      <c r="AS81" s="27"/>
      <c r="AT81" s="27"/>
      <c r="AU81" s="27"/>
    </row>
    <row r="82" spans="1:47" ht="22.5" x14ac:dyDescent="0.25">
      <c r="A82" s="42"/>
      <c r="B82" s="63" t="str">
        <f t="shared" si="0"/>
        <v>HDCWD00P</v>
      </c>
      <c r="C82" s="63" t="str">
        <f t="shared" si="1"/>
        <v>HR_SAP_ADDRESSES</v>
      </c>
      <c r="D82" s="29">
        <v>13</v>
      </c>
      <c r="E82" s="42" t="s">
        <v>160</v>
      </c>
      <c r="F82" s="43" t="s">
        <v>156</v>
      </c>
      <c r="G82" s="31" t="s">
        <v>170</v>
      </c>
      <c r="H82" s="43"/>
      <c r="I82" s="44"/>
      <c r="J82" s="44" t="s">
        <v>22</v>
      </c>
      <c r="K82" s="44" t="s">
        <v>21</v>
      </c>
      <c r="L82" s="42"/>
      <c r="M82" s="42" t="s">
        <v>171</v>
      </c>
      <c r="N82" s="29"/>
      <c r="O82" s="31" t="s">
        <v>137</v>
      </c>
      <c r="P82" s="29" t="s">
        <v>186</v>
      </c>
      <c r="Q82" s="42" t="s">
        <v>191</v>
      </c>
      <c r="R82" s="30">
        <v>13</v>
      </c>
      <c r="S82" s="34" t="s">
        <v>193</v>
      </c>
      <c r="T82" s="42" t="s">
        <v>204</v>
      </c>
      <c r="U82" s="29" t="s">
        <v>217</v>
      </c>
      <c r="V82" s="42" t="s">
        <v>186</v>
      </c>
      <c r="W82" s="31" t="s">
        <v>186</v>
      </c>
      <c r="X82" s="32" t="s">
        <v>233</v>
      </c>
      <c r="Y82" s="32"/>
      <c r="Z82" s="31" t="s">
        <v>170</v>
      </c>
      <c r="AA82" s="31"/>
      <c r="AB82" s="31" t="s">
        <v>138</v>
      </c>
      <c r="AC82" s="31" t="s">
        <v>137</v>
      </c>
      <c r="AD82" s="31" t="s">
        <v>376</v>
      </c>
      <c r="AE82" s="31" t="s">
        <v>377</v>
      </c>
      <c r="AF82" s="27"/>
      <c r="AG82" s="27"/>
      <c r="AH82" s="27"/>
      <c r="AI82" s="27"/>
      <c r="AJ82" s="27"/>
      <c r="AK82" s="27"/>
      <c r="AL82" s="27"/>
      <c r="AM82" s="27"/>
      <c r="AN82" s="27"/>
      <c r="AO82" s="27"/>
      <c r="AP82" s="27"/>
      <c r="AQ82" s="27"/>
      <c r="AR82" s="27"/>
      <c r="AS82" s="27"/>
      <c r="AT82" s="27"/>
      <c r="AU82" s="27"/>
    </row>
    <row r="83" spans="1:47" ht="22.5" x14ac:dyDescent="0.25">
      <c r="A83" s="42"/>
      <c r="B83" s="63" t="str">
        <f t="shared" si="0"/>
        <v>HDCWD00P</v>
      </c>
      <c r="C83" s="63" t="str">
        <f t="shared" si="1"/>
        <v>HR_SAP_ADDRESSES</v>
      </c>
      <c r="D83" s="29">
        <v>14</v>
      </c>
      <c r="E83" s="42" t="s">
        <v>326</v>
      </c>
      <c r="F83" s="43" t="s">
        <v>156</v>
      </c>
      <c r="G83" s="43" t="s">
        <v>327</v>
      </c>
      <c r="H83" s="43"/>
      <c r="I83" s="44"/>
      <c r="J83" s="44" t="s">
        <v>22</v>
      </c>
      <c r="K83" s="44" t="s">
        <v>21</v>
      </c>
      <c r="L83" s="42"/>
      <c r="M83" s="42" t="s">
        <v>171</v>
      </c>
      <c r="N83" s="29"/>
      <c r="O83" s="31" t="s">
        <v>137</v>
      </c>
      <c r="P83" s="29" t="s">
        <v>340</v>
      </c>
      <c r="Q83" s="42" t="s">
        <v>191</v>
      </c>
      <c r="R83" s="30">
        <v>14</v>
      </c>
      <c r="S83" s="30" t="s">
        <v>193</v>
      </c>
      <c r="T83" s="42" t="s">
        <v>347</v>
      </c>
      <c r="U83" s="29" t="s">
        <v>352</v>
      </c>
      <c r="V83" s="42" t="s">
        <v>340</v>
      </c>
      <c r="W83" s="31" t="s">
        <v>340</v>
      </c>
      <c r="X83" s="32" t="s">
        <v>233</v>
      </c>
      <c r="Y83" s="32"/>
      <c r="Z83" s="31" t="s">
        <v>327</v>
      </c>
      <c r="AA83" s="31"/>
      <c r="AB83" s="31" t="s">
        <v>138</v>
      </c>
      <c r="AC83" s="31" t="s">
        <v>137</v>
      </c>
      <c r="AD83" s="31" t="s">
        <v>376</v>
      </c>
      <c r="AE83" s="31" t="s">
        <v>377</v>
      </c>
      <c r="AF83" s="27"/>
      <c r="AG83" s="27"/>
      <c r="AH83" s="27"/>
      <c r="AI83" s="27"/>
      <c r="AJ83" s="27"/>
      <c r="AK83" s="27"/>
      <c r="AL83" s="27"/>
      <c r="AM83" s="27"/>
      <c r="AN83" s="27"/>
      <c r="AO83" s="27"/>
      <c r="AP83" s="27"/>
      <c r="AQ83" s="27"/>
      <c r="AR83" s="27"/>
      <c r="AS83" s="27"/>
      <c r="AT83" s="27"/>
      <c r="AU83" s="27"/>
    </row>
    <row r="84" spans="1:47" ht="22.5" x14ac:dyDescent="0.25">
      <c r="A84" s="42"/>
      <c r="B84" s="63" t="str">
        <f t="shared" si="0"/>
        <v>HDCWD00P</v>
      </c>
      <c r="C84" s="63" t="str">
        <f t="shared" si="1"/>
        <v>HR_SAP_ADDRESSES</v>
      </c>
      <c r="D84" s="29">
        <v>15</v>
      </c>
      <c r="E84" s="42" t="s">
        <v>328</v>
      </c>
      <c r="F84" s="43" t="s">
        <v>156</v>
      </c>
      <c r="G84" s="43" t="s">
        <v>329</v>
      </c>
      <c r="H84" s="43"/>
      <c r="I84" s="44"/>
      <c r="J84" s="44" t="s">
        <v>22</v>
      </c>
      <c r="K84" s="44" t="s">
        <v>21</v>
      </c>
      <c r="L84" s="42"/>
      <c r="M84" s="42" t="s">
        <v>171</v>
      </c>
      <c r="N84" s="29"/>
      <c r="O84" s="31" t="s">
        <v>137</v>
      </c>
      <c r="P84" s="29" t="s">
        <v>341</v>
      </c>
      <c r="Q84" s="42" t="s">
        <v>191</v>
      </c>
      <c r="R84" s="30">
        <v>15</v>
      </c>
      <c r="S84" s="30" t="s">
        <v>193</v>
      </c>
      <c r="T84" s="42" t="s">
        <v>348</v>
      </c>
      <c r="U84" s="29" t="s">
        <v>353</v>
      </c>
      <c r="V84" s="42" t="s">
        <v>341</v>
      </c>
      <c r="W84" s="31" t="s">
        <v>341</v>
      </c>
      <c r="X84" s="32" t="s">
        <v>233</v>
      </c>
      <c r="Y84" s="32"/>
      <c r="Z84" s="31" t="s">
        <v>329</v>
      </c>
      <c r="AA84" s="31"/>
      <c r="AB84" s="31" t="s">
        <v>138</v>
      </c>
      <c r="AC84" s="31" t="s">
        <v>137</v>
      </c>
      <c r="AD84" s="31" t="s">
        <v>376</v>
      </c>
      <c r="AE84" s="31" t="s">
        <v>377</v>
      </c>
      <c r="AF84" s="27"/>
      <c r="AG84" s="27"/>
      <c r="AH84" s="27"/>
      <c r="AI84" s="27"/>
      <c r="AJ84" s="27"/>
      <c r="AK84" s="27"/>
      <c r="AL84" s="27"/>
      <c r="AM84" s="27"/>
      <c r="AN84" s="27"/>
      <c r="AO84" s="27"/>
      <c r="AP84" s="27"/>
      <c r="AQ84" s="27"/>
      <c r="AR84" s="27"/>
      <c r="AS84" s="27"/>
      <c r="AT84" s="27"/>
      <c r="AU84" s="27"/>
    </row>
    <row r="85" spans="1:47" ht="22.5" x14ac:dyDescent="0.25">
      <c r="A85" s="42"/>
      <c r="B85" s="63" t="str">
        <f t="shared" si="0"/>
        <v>HDCWD00P</v>
      </c>
      <c r="C85" s="63" t="str">
        <f t="shared" si="1"/>
        <v>HR_SAP_ADDRESSES</v>
      </c>
      <c r="D85" s="29">
        <v>16</v>
      </c>
      <c r="E85" s="42" t="s">
        <v>330</v>
      </c>
      <c r="F85" s="43" t="s">
        <v>151</v>
      </c>
      <c r="G85" s="43" t="s">
        <v>331</v>
      </c>
      <c r="H85" s="43"/>
      <c r="I85" s="44"/>
      <c r="J85" s="44" t="s">
        <v>22</v>
      </c>
      <c r="K85" s="44" t="s">
        <v>21</v>
      </c>
      <c r="L85" s="42"/>
      <c r="M85" s="42" t="s">
        <v>171</v>
      </c>
      <c r="N85" s="29"/>
      <c r="O85" s="31"/>
      <c r="P85" s="29" t="s">
        <v>342</v>
      </c>
      <c r="Q85" s="42" t="s">
        <v>191</v>
      </c>
      <c r="R85" s="30">
        <v>16</v>
      </c>
      <c r="S85" s="30" t="s">
        <v>193</v>
      </c>
      <c r="T85" s="42" t="s">
        <v>349</v>
      </c>
      <c r="U85" s="29" t="s">
        <v>354</v>
      </c>
      <c r="V85" s="42" t="s">
        <v>342</v>
      </c>
      <c r="W85" s="31" t="s">
        <v>342</v>
      </c>
      <c r="X85" s="32" t="s">
        <v>231</v>
      </c>
      <c r="Y85" s="32"/>
      <c r="Z85" s="31" t="s">
        <v>331</v>
      </c>
      <c r="AA85" s="31"/>
      <c r="AB85" s="31" t="s">
        <v>138</v>
      </c>
      <c r="AC85" s="31" t="s">
        <v>137</v>
      </c>
      <c r="AD85" s="31" t="s">
        <v>376</v>
      </c>
      <c r="AE85" s="31" t="s">
        <v>377</v>
      </c>
      <c r="AF85" s="27"/>
      <c r="AG85" s="27"/>
      <c r="AH85" s="27"/>
      <c r="AI85" s="27"/>
      <c r="AJ85" s="27"/>
      <c r="AK85" s="27"/>
      <c r="AL85" s="27"/>
      <c r="AM85" s="27"/>
      <c r="AN85" s="27"/>
      <c r="AO85" s="27"/>
      <c r="AP85" s="27"/>
      <c r="AQ85" s="27"/>
      <c r="AR85" s="27"/>
      <c r="AS85" s="27"/>
      <c r="AT85" s="27"/>
      <c r="AU85" s="27"/>
    </row>
    <row r="86" spans="1:47" ht="22.5" x14ac:dyDescent="0.25">
      <c r="A86" s="42"/>
      <c r="B86" s="63" t="str">
        <f t="shared" si="0"/>
        <v>HDCWD00P</v>
      </c>
      <c r="C86" s="63" t="str">
        <f t="shared" si="1"/>
        <v>HR_SAP_ADDRESSES</v>
      </c>
      <c r="D86" s="29">
        <v>17</v>
      </c>
      <c r="E86" s="42" t="s">
        <v>332</v>
      </c>
      <c r="F86" s="43" t="s">
        <v>161</v>
      </c>
      <c r="G86" s="43" t="s">
        <v>329</v>
      </c>
      <c r="H86" s="43"/>
      <c r="I86" s="44"/>
      <c r="J86" s="44" t="s">
        <v>22</v>
      </c>
      <c r="K86" s="44" t="s">
        <v>21</v>
      </c>
      <c r="L86" s="42"/>
      <c r="M86" s="42" t="s">
        <v>171</v>
      </c>
      <c r="N86" s="29"/>
      <c r="O86" s="31"/>
      <c r="P86" s="29" t="s">
        <v>343</v>
      </c>
      <c r="Q86" s="42" t="s">
        <v>191</v>
      </c>
      <c r="R86" s="30">
        <v>17</v>
      </c>
      <c r="S86" s="30" t="s">
        <v>193</v>
      </c>
      <c r="T86" s="42" t="s">
        <v>349</v>
      </c>
      <c r="U86" s="29" t="s">
        <v>355</v>
      </c>
      <c r="V86" s="42" t="s">
        <v>343</v>
      </c>
      <c r="W86" s="31" t="s">
        <v>343</v>
      </c>
      <c r="X86" s="32" t="s">
        <v>235</v>
      </c>
      <c r="Y86" s="32"/>
      <c r="Z86" s="31" t="s">
        <v>329</v>
      </c>
      <c r="AA86" s="31"/>
      <c r="AB86" s="31" t="s">
        <v>138</v>
      </c>
      <c r="AC86" s="31" t="s">
        <v>137</v>
      </c>
      <c r="AD86" s="31" t="s">
        <v>376</v>
      </c>
      <c r="AE86" s="31" t="s">
        <v>377</v>
      </c>
      <c r="AF86" s="27"/>
      <c r="AG86" s="27"/>
      <c r="AH86" s="27"/>
      <c r="AI86" s="27"/>
      <c r="AJ86" s="27"/>
      <c r="AK86" s="27"/>
      <c r="AL86" s="27"/>
      <c r="AM86" s="27"/>
      <c r="AN86" s="27"/>
      <c r="AO86" s="27"/>
      <c r="AP86" s="27"/>
      <c r="AQ86" s="27"/>
      <c r="AR86" s="27"/>
      <c r="AS86" s="27"/>
      <c r="AT86" s="27"/>
      <c r="AU86" s="27"/>
    </row>
    <row r="87" spans="1:47" ht="22.5" x14ac:dyDescent="0.25">
      <c r="A87" s="42"/>
      <c r="B87" s="63" t="str">
        <f t="shared" si="0"/>
        <v>HDCWD00P</v>
      </c>
      <c r="C87" s="63" t="str">
        <f t="shared" si="1"/>
        <v>HR_SAP_ADDRESSES</v>
      </c>
      <c r="D87" s="29">
        <v>18</v>
      </c>
      <c r="E87" s="42" t="s">
        <v>333</v>
      </c>
      <c r="F87" s="43" t="s">
        <v>162</v>
      </c>
      <c r="G87" s="43" t="s">
        <v>334</v>
      </c>
      <c r="H87" s="43"/>
      <c r="I87" s="44"/>
      <c r="J87" s="44" t="s">
        <v>22</v>
      </c>
      <c r="K87" s="44" t="s">
        <v>21</v>
      </c>
      <c r="L87" s="42"/>
      <c r="M87" s="42" t="s">
        <v>171</v>
      </c>
      <c r="N87" s="29"/>
      <c r="O87" s="31" t="s">
        <v>137</v>
      </c>
      <c r="P87" s="29" t="s">
        <v>344</v>
      </c>
      <c r="Q87" s="42" t="s">
        <v>191</v>
      </c>
      <c r="R87" s="30">
        <v>18</v>
      </c>
      <c r="S87" s="30" t="s">
        <v>193</v>
      </c>
      <c r="T87" s="42" t="s">
        <v>350</v>
      </c>
      <c r="U87" s="29" t="s">
        <v>356</v>
      </c>
      <c r="V87" s="42" t="s">
        <v>344</v>
      </c>
      <c r="W87" s="31" t="s">
        <v>344</v>
      </c>
      <c r="X87" s="32" t="s">
        <v>236</v>
      </c>
      <c r="Y87" s="32"/>
      <c r="Z87" s="31" t="s">
        <v>334</v>
      </c>
      <c r="AA87" s="31"/>
      <c r="AB87" s="31" t="s">
        <v>138</v>
      </c>
      <c r="AC87" s="31" t="s">
        <v>137</v>
      </c>
      <c r="AD87" s="31" t="s">
        <v>376</v>
      </c>
      <c r="AE87" s="31" t="s">
        <v>377</v>
      </c>
      <c r="AF87" s="27"/>
      <c r="AG87" s="27"/>
      <c r="AH87" s="27"/>
      <c r="AI87" s="27"/>
      <c r="AJ87" s="27"/>
      <c r="AK87" s="27"/>
      <c r="AL87" s="27"/>
      <c r="AM87" s="27"/>
      <c r="AN87" s="27"/>
      <c r="AO87" s="27"/>
      <c r="AP87" s="27"/>
      <c r="AQ87" s="27"/>
      <c r="AR87" s="27"/>
      <c r="AS87" s="27"/>
      <c r="AT87" s="27"/>
      <c r="AU87" s="27"/>
    </row>
    <row r="88" spans="1:47" ht="22.5" x14ac:dyDescent="0.25">
      <c r="A88" s="42"/>
      <c r="B88" s="63" t="str">
        <f t="shared" si="0"/>
        <v>HDCWD00P</v>
      </c>
      <c r="C88" s="63" t="str">
        <f t="shared" si="1"/>
        <v>HR_SAP_ADDRESSES</v>
      </c>
      <c r="D88" s="29">
        <v>19</v>
      </c>
      <c r="E88" s="42" t="s">
        <v>335</v>
      </c>
      <c r="F88" s="43" t="s">
        <v>151</v>
      </c>
      <c r="G88" s="43" t="s">
        <v>336</v>
      </c>
      <c r="H88" s="43"/>
      <c r="I88" s="44"/>
      <c r="J88" s="44" t="s">
        <v>21</v>
      </c>
      <c r="K88" s="44" t="s">
        <v>21</v>
      </c>
      <c r="L88" s="42"/>
      <c r="M88" s="42" t="s">
        <v>171</v>
      </c>
      <c r="N88" s="29"/>
      <c r="O88" s="31"/>
      <c r="P88" s="29" t="s">
        <v>345</v>
      </c>
      <c r="Q88" s="42" t="s">
        <v>191</v>
      </c>
      <c r="R88" s="30">
        <v>19</v>
      </c>
      <c r="S88" s="30" t="s">
        <v>193</v>
      </c>
      <c r="T88" s="42" t="s">
        <v>351</v>
      </c>
      <c r="U88" s="29" t="s">
        <v>357</v>
      </c>
      <c r="V88" s="42" t="s">
        <v>345</v>
      </c>
      <c r="W88" s="31" t="s">
        <v>345</v>
      </c>
      <c r="X88" s="32" t="s">
        <v>231</v>
      </c>
      <c r="Y88" s="32"/>
      <c r="Z88" s="31" t="s">
        <v>336</v>
      </c>
      <c r="AA88" s="31"/>
      <c r="AB88" s="31" t="s">
        <v>138</v>
      </c>
      <c r="AC88" s="31" t="s">
        <v>137</v>
      </c>
      <c r="AD88" s="31" t="s">
        <v>376</v>
      </c>
      <c r="AE88" s="31" t="s">
        <v>377</v>
      </c>
      <c r="AF88" s="27"/>
      <c r="AG88" s="27"/>
      <c r="AH88" s="27"/>
      <c r="AI88" s="27"/>
      <c r="AJ88" s="27"/>
      <c r="AK88" s="27"/>
      <c r="AL88" s="27"/>
      <c r="AM88" s="27"/>
      <c r="AN88" s="27"/>
      <c r="AO88" s="27"/>
      <c r="AP88" s="27"/>
      <c r="AQ88" s="27"/>
      <c r="AR88" s="27"/>
      <c r="AS88" s="27"/>
      <c r="AT88" s="27"/>
      <c r="AU88" s="27"/>
    </row>
    <row r="89" spans="1:47" ht="22.5" x14ac:dyDescent="0.25">
      <c r="A89" s="42"/>
      <c r="B89" s="63" t="str">
        <f t="shared" si="0"/>
        <v>HDCWD00P</v>
      </c>
      <c r="C89" s="63" t="str">
        <f t="shared" si="1"/>
        <v>HR_SAP_ADDRESSES</v>
      </c>
      <c r="D89" s="29">
        <v>20</v>
      </c>
      <c r="E89" s="42" t="s">
        <v>337</v>
      </c>
      <c r="F89" s="43" t="s">
        <v>338</v>
      </c>
      <c r="G89" s="43" t="s">
        <v>339</v>
      </c>
      <c r="H89" s="43"/>
      <c r="I89" s="44"/>
      <c r="J89" s="44" t="s">
        <v>21</v>
      </c>
      <c r="K89" s="44" t="s">
        <v>21</v>
      </c>
      <c r="L89" s="42"/>
      <c r="M89" s="42" t="s">
        <v>171</v>
      </c>
      <c r="N89" s="29"/>
      <c r="O89" s="31"/>
      <c r="P89" s="29" t="s">
        <v>346</v>
      </c>
      <c r="Q89" s="42" t="s">
        <v>191</v>
      </c>
      <c r="R89" s="30">
        <v>20</v>
      </c>
      <c r="S89" s="30" t="s">
        <v>193</v>
      </c>
      <c r="T89" s="42" t="s">
        <v>351</v>
      </c>
      <c r="U89" s="29" t="s">
        <v>358</v>
      </c>
      <c r="V89" s="42" t="s">
        <v>346</v>
      </c>
      <c r="W89" s="31" t="s">
        <v>346</v>
      </c>
      <c r="X89" s="32" t="s">
        <v>359</v>
      </c>
      <c r="Y89" s="32"/>
      <c r="Z89" s="31" t="s">
        <v>339</v>
      </c>
      <c r="AA89" s="31"/>
      <c r="AB89" s="31" t="s">
        <v>138</v>
      </c>
      <c r="AC89" s="31" t="s">
        <v>137</v>
      </c>
      <c r="AD89" s="31" t="s">
        <v>376</v>
      </c>
      <c r="AE89" s="31" t="s">
        <v>377</v>
      </c>
      <c r="AF89" s="27"/>
      <c r="AG89" s="27"/>
      <c r="AH89" s="27"/>
      <c r="AI89" s="27"/>
      <c r="AJ89" s="27"/>
      <c r="AK89" s="27"/>
      <c r="AL89" s="27"/>
      <c r="AM89" s="27"/>
      <c r="AN89" s="27"/>
      <c r="AO89" s="27"/>
      <c r="AP89" s="27"/>
      <c r="AQ89" s="27"/>
      <c r="AR89" s="27"/>
      <c r="AS89" s="27"/>
      <c r="AT89" s="27"/>
      <c r="AU89" s="27"/>
    </row>
    <row r="90" spans="1:47" x14ac:dyDescent="0.25">
      <c r="A90" s="44"/>
      <c r="B90" s="63" t="str">
        <f t="shared" si="0"/>
        <v>HDCWD00P</v>
      </c>
      <c r="C90" s="63" t="str">
        <f t="shared" si="1"/>
        <v>HR_SAP_ADDRESSES</v>
      </c>
      <c r="D90" s="29">
        <v>21</v>
      </c>
      <c r="E90" s="42" t="s">
        <v>103</v>
      </c>
      <c r="F90" s="77" t="s">
        <v>104</v>
      </c>
      <c r="H90" s="42" t="s">
        <v>105</v>
      </c>
      <c r="I90" s="77"/>
      <c r="J90" s="78" t="s">
        <v>21</v>
      </c>
      <c r="K90" s="78" t="s">
        <v>21</v>
      </c>
      <c r="L90" s="77">
        <v>1</v>
      </c>
      <c r="M90" s="77" t="s">
        <v>172</v>
      </c>
      <c r="N90" s="77" t="s">
        <v>247</v>
      </c>
      <c r="O90" s="31"/>
      <c r="P90" s="79" t="s">
        <v>187</v>
      </c>
      <c r="Q90" s="77" t="s">
        <v>28</v>
      </c>
      <c r="R90" s="30">
        <v>21</v>
      </c>
      <c r="S90" s="77" t="s">
        <v>28</v>
      </c>
      <c r="T90" s="77" t="s">
        <v>28</v>
      </c>
      <c r="U90" s="29"/>
      <c r="V90" s="42"/>
      <c r="W90" s="42"/>
      <c r="X90" s="77" t="s">
        <v>28</v>
      </c>
      <c r="Y90" s="32"/>
      <c r="Z90" s="42"/>
      <c r="AA90" s="32"/>
      <c r="AB90" s="31"/>
      <c r="AC90" s="31"/>
      <c r="AD90" s="31"/>
      <c r="AE90" s="31"/>
      <c r="AF90" s="27"/>
      <c r="AG90" s="27"/>
      <c r="AH90" s="27"/>
      <c r="AI90" s="27"/>
      <c r="AJ90" s="27"/>
      <c r="AK90" s="27"/>
      <c r="AL90" s="27"/>
      <c r="AM90" s="27"/>
      <c r="AN90" s="27"/>
      <c r="AO90" s="27"/>
      <c r="AP90" s="27"/>
      <c r="AQ90" s="27"/>
      <c r="AR90" s="27"/>
      <c r="AS90" s="27"/>
      <c r="AT90" s="27"/>
      <c r="AU90" s="27"/>
    </row>
    <row r="91" spans="1:47" x14ac:dyDescent="0.25">
      <c r="A91" s="44"/>
      <c r="B91" s="63" t="str">
        <f t="shared" si="0"/>
        <v>HDCWD00P</v>
      </c>
      <c r="C91" s="63" t="str">
        <f t="shared" si="1"/>
        <v>HR_SAP_ADDRESSES</v>
      </c>
      <c r="D91" s="29">
        <v>22</v>
      </c>
      <c r="E91" s="42" t="s">
        <v>248</v>
      </c>
      <c r="F91" s="77" t="s">
        <v>106</v>
      </c>
      <c r="G91" s="42"/>
      <c r="H91" s="43" t="s">
        <v>249</v>
      </c>
      <c r="I91" s="77">
        <v>43</v>
      </c>
      <c r="J91" s="78" t="s">
        <v>21</v>
      </c>
      <c r="K91" s="78" t="s">
        <v>21</v>
      </c>
      <c r="L91" s="77">
        <v>2</v>
      </c>
      <c r="M91" s="77" t="s">
        <v>173</v>
      </c>
      <c r="N91" s="77" t="s">
        <v>250</v>
      </c>
      <c r="O91" s="31"/>
      <c r="P91" s="80" t="s">
        <v>188</v>
      </c>
      <c r="Q91" s="77" t="s">
        <v>28</v>
      </c>
      <c r="R91" s="30">
        <v>22</v>
      </c>
      <c r="S91" s="77" t="s">
        <v>28</v>
      </c>
      <c r="T91" s="77" t="s">
        <v>28</v>
      </c>
      <c r="U91" s="29"/>
      <c r="V91" s="42"/>
      <c r="W91" s="42"/>
      <c r="X91" s="77" t="s">
        <v>28</v>
      </c>
      <c r="Y91" s="32"/>
      <c r="Z91" s="42"/>
      <c r="AA91" s="32"/>
      <c r="AB91" s="31"/>
      <c r="AC91" s="31"/>
      <c r="AD91" s="31"/>
      <c r="AE91" s="31"/>
      <c r="AF91" s="27"/>
      <c r="AG91" s="27"/>
      <c r="AH91" s="27"/>
      <c r="AI91" s="27"/>
      <c r="AJ91" s="27"/>
      <c r="AK91" s="27"/>
      <c r="AL91" s="27"/>
      <c r="AM91" s="27"/>
      <c r="AN91" s="27"/>
      <c r="AO91" s="27"/>
      <c r="AP91" s="27"/>
      <c r="AQ91" s="27"/>
      <c r="AR91" s="27"/>
      <c r="AS91" s="27"/>
      <c r="AT91" s="27"/>
      <c r="AU91" s="27"/>
    </row>
    <row r="92" spans="1:47" x14ac:dyDescent="0.25">
      <c r="A92" s="44"/>
      <c r="B92" s="63" t="str">
        <f t="shared" si="0"/>
        <v>HDCWD00P</v>
      </c>
      <c r="C92" s="63" t="str">
        <f t="shared" si="1"/>
        <v>HR_SAP_ADDRESSES</v>
      </c>
      <c r="D92" s="29">
        <v>23</v>
      </c>
      <c r="E92" s="42" t="s">
        <v>251</v>
      </c>
      <c r="F92" s="77" t="s">
        <v>106</v>
      </c>
      <c r="G92" s="42"/>
      <c r="H92" s="43" t="s">
        <v>249</v>
      </c>
      <c r="I92" s="77">
        <v>6</v>
      </c>
      <c r="J92" s="78" t="s">
        <v>21</v>
      </c>
      <c r="K92" s="78" t="s">
        <v>21</v>
      </c>
      <c r="L92" s="77">
        <v>3</v>
      </c>
      <c r="M92" s="77" t="s">
        <v>174</v>
      </c>
      <c r="N92" s="77" t="s">
        <v>250</v>
      </c>
      <c r="O92" s="31"/>
      <c r="P92" s="80" t="s">
        <v>189</v>
      </c>
      <c r="Q92" s="77" t="s">
        <v>28</v>
      </c>
      <c r="R92" s="30">
        <v>23</v>
      </c>
      <c r="S92" s="77" t="s">
        <v>28</v>
      </c>
      <c r="T92" s="77" t="s">
        <v>28</v>
      </c>
      <c r="U92" s="29"/>
      <c r="V92" s="42"/>
      <c r="W92" s="42"/>
      <c r="X92" s="77" t="s">
        <v>28</v>
      </c>
      <c r="Y92" s="32"/>
      <c r="Z92" s="42"/>
      <c r="AA92" s="32"/>
      <c r="AB92" s="31"/>
      <c r="AC92" s="31"/>
      <c r="AD92" s="31"/>
      <c r="AE92" s="31"/>
      <c r="AF92" s="27"/>
      <c r="AG92" s="27"/>
      <c r="AH92" s="27"/>
      <c r="AI92" s="27"/>
      <c r="AJ92" s="27"/>
      <c r="AK92" s="27"/>
      <c r="AL92" s="27"/>
      <c r="AM92" s="27"/>
      <c r="AN92" s="27"/>
      <c r="AO92" s="27"/>
      <c r="AP92" s="27"/>
      <c r="AQ92" s="27"/>
      <c r="AR92" s="27"/>
      <c r="AS92" s="27"/>
      <c r="AT92" s="27"/>
      <c r="AU92" s="27"/>
    </row>
    <row r="93" spans="1:47" ht="16.5" x14ac:dyDescent="0.3">
      <c r="A93" s="44"/>
      <c r="B93" s="63" t="str">
        <f t="shared" si="0"/>
        <v>HDCWD00P</v>
      </c>
      <c r="C93" s="63" t="str">
        <f t="shared" si="1"/>
        <v>HR_SAP_ADDRESSES</v>
      </c>
      <c r="D93" s="29">
        <v>24</v>
      </c>
      <c r="E93" s="42" t="s">
        <v>107</v>
      </c>
      <c r="F93" s="77" t="s">
        <v>108</v>
      </c>
      <c r="G93" s="42"/>
      <c r="H93" s="43"/>
      <c r="I93" s="77">
        <v>1</v>
      </c>
      <c r="J93" s="78" t="s">
        <v>21</v>
      </c>
      <c r="K93" s="78" t="s">
        <v>21</v>
      </c>
      <c r="L93" s="77"/>
      <c r="M93" s="77" t="s">
        <v>172</v>
      </c>
      <c r="N93" s="77" t="s">
        <v>247</v>
      </c>
      <c r="O93" s="31"/>
      <c r="P93" s="81" t="s">
        <v>252</v>
      </c>
      <c r="Q93" s="77" t="s">
        <v>28</v>
      </c>
      <c r="R93" s="30">
        <v>24</v>
      </c>
      <c r="S93" s="77" t="s">
        <v>28</v>
      </c>
      <c r="T93" s="77" t="s">
        <v>28</v>
      </c>
      <c r="U93" s="29"/>
      <c r="V93" s="42"/>
      <c r="W93" s="42"/>
      <c r="X93" s="77" t="s">
        <v>28</v>
      </c>
      <c r="Y93" s="32"/>
      <c r="Z93" s="42"/>
      <c r="AA93" s="32"/>
      <c r="AB93" s="31"/>
      <c r="AC93" s="31"/>
      <c r="AD93" s="31"/>
      <c r="AE93" s="31"/>
      <c r="AF93" s="27"/>
      <c r="AG93" s="27"/>
      <c r="AH93" s="27"/>
      <c r="AI93" s="27"/>
      <c r="AJ93" s="27"/>
      <c r="AK93" s="27"/>
      <c r="AL93" s="27"/>
      <c r="AM93" s="27"/>
      <c r="AN93" s="27"/>
      <c r="AO93" s="27"/>
      <c r="AP93" s="27"/>
      <c r="AQ93" s="27"/>
      <c r="AR93" s="27"/>
      <c r="AS93" s="27"/>
      <c r="AT93" s="27"/>
      <c r="AU93" s="27"/>
    </row>
    <row r="94" spans="1:47" x14ac:dyDescent="0.25">
      <c r="A94" s="44"/>
      <c r="B94" s="63" t="str">
        <f t="shared" si="0"/>
        <v>HDCWD00P</v>
      </c>
      <c r="C94" s="63" t="str">
        <f t="shared" si="1"/>
        <v>HR_SAP_ADDRESSES</v>
      </c>
      <c r="D94" s="29">
        <v>25</v>
      </c>
      <c r="E94" s="42" t="s">
        <v>253</v>
      </c>
      <c r="F94" s="77" t="s">
        <v>104</v>
      </c>
      <c r="G94" s="42" t="s">
        <v>105</v>
      </c>
      <c r="H94" s="43" t="s">
        <v>249</v>
      </c>
      <c r="I94" s="77"/>
      <c r="J94" s="78" t="s">
        <v>21</v>
      </c>
      <c r="K94" s="78" t="s">
        <v>21</v>
      </c>
      <c r="L94" s="77">
        <v>4</v>
      </c>
      <c r="M94" s="77" t="s">
        <v>172</v>
      </c>
      <c r="N94" s="77" t="s">
        <v>250</v>
      </c>
      <c r="O94" s="31"/>
      <c r="P94" s="79" t="s">
        <v>190</v>
      </c>
      <c r="Q94" s="77" t="s">
        <v>28</v>
      </c>
      <c r="R94" s="30">
        <v>25</v>
      </c>
      <c r="S94" s="77" t="s">
        <v>28</v>
      </c>
      <c r="T94" s="77" t="s">
        <v>28</v>
      </c>
      <c r="U94" s="29"/>
      <c r="V94" s="42"/>
      <c r="W94" s="42"/>
      <c r="X94" s="77" t="s">
        <v>28</v>
      </c>
      <c r="Y94" s="32"/>
      <c r="Z94" s="42"/>
      <c r="AA94" s="32"/>
      <c r="AB94" s="31"/>
      <c r="AC94" s="31"/>
      <c r="AD94" s="31"/>
      <c r="AE94" s="31"/>
      <c r="AF94" s="27"/>
      <c r="AG94" s="27"/>
      <c r="AH94" s="27"/>
      <c r="AI94" s="27"/>
      <c r="AJ94" s="27"/>
      <c r="AK94" s="27"/>
      <c r="AL94" s="27"/>
      <c r="AM94" s="27"/>
      <c r="AN94" s="27"/>
      <c r="AO94" s="27"/>
      <c r="AP94" s="27"/>
      <c r="AQ94" s="27"/>
      <c r="AR94" s="27"/>
      <c r="AS94" s="27"/>
      <c r="AT94" s="27"/>
      <c r="AU94" s="27"/>
    </row>
    <row r="95" spans="1:47" ht="22.5" x14ac:dyDescent="0.25">
      <c r="A95" s="44"/>
      <c r="B95" s="63" t="str">
        <f t="shared" si="0"/>
        <v>HDCWD00P</v>
      </c>
      <c r="C95" s="63" t="str">
        <f t="shared" si="1"/>
        <v>HR_SAP_ADDRESSES</v>
      </c>
      <c r="D95" s="29">
        <v>26</v>
      </c>
      <c r="E95" s="42" t="s">
        <v>254</v>
      </c>
      <c r="F95" s="43" t="s">
        <v>241</v>
      </c>
      <c r="G95" s="42" t="s">
        <v>242</v>
      </c>
      <c r="H95" s="43" t="s">
        <v>249</v>
      </c>
      <c r="I95" s="77"/>
      <c r="J95" s="78" t="s">
        <v>21</v>
      </c>
      <c r="K95" s="78" t="s">
        <v>21</v>
      </c>
      <c r="L95" s="77"/>
      <c r="M95" s="77" t="s">
        <v>172</v>
      </c>
      <c r="N95" s="77" t="s">
        <v>250</v>
      </c>
      <c r="O95" s="31"/>
      <c r="P95" s="77"/>
      <c r="Q95" s="77" t="s">
        <v>28</v>
      </c>
      <c r="R95" s="30">
        <v>26</v>
      </c>
      <c r="S95" s="77" t="s">
        <v>28</v>
      </c>
      <c r="T95" s="77" t="s">
        <v>28</v>
      </c>
      <c r="U95" s="29"/>
      <c r="V95" s="42"/>
      <c r="W95" s="42"/>
      <c r="X95" s="77" t="s">
        <v>28</v>
      </c>
      <c r="Y95" s="32"/>
      <c r="Z95" s="42"/>
      <c r="AA95" s="32"/>
      <c r="AB95" s="31"/>
      <c r="AC95" s="31"/>
      <c r="AD95" s="31"/>
      <c r="AE95" s="31"/>
      <c r="AF95" s="27"/>
      <c r="AG95" s="27"/>
      <c r="AH95" s="27"/>
      <c r="AI95" s="27"/>
      <c r="AJ95" s="27"/>
      <c r="AK95" s="27"/>
      <c r="AL95" s="27"/>
      <c r="AM95" s="27"/>
      <c r="AN95" s="27"/>
      <c r="AO95" s="27"/>
      <c r="AP95" s="27"/>
      <c r="AQ95" s="27"/>
      <c r="AR95" s="27"/>
      <c r="AS95" s="27"/>
      <c r="AT95" s="27"/>
      <c r="AU95" s="27"/>
    </row>
    <row r="96" spans="1:47" x14ac:dyDescent="0.25">
      <c r="A96" s="27"/>
      <c r="B96" s="27"/>
      <c r="C96" s="27"/>
      <c r="D96" s="27"/>
      <c r="E96" s="27"/>
      <c r="F96" s="27"/>
      <c r="G96" s="27"/>
      <c r="H96" s="27"/>
      <c r="I96" s="27"/>
      <c r="J96" s="27"/>
      <c r="K96" s="27"/>
      <c r="L96" s="35"/>
      <c r="M96" s="27"/>
      <c r="N96" s="27"/>
      <c r="O96" s="27"/>
      <c r="P96" s="27"/>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c r="AS96" s="27"/>
      <c r="AT96" s="27"/>
      <c r="AU96" s="27"/>
    </row>
    <row r="97" spans="1:47" x14ac:dyDescent="0.25">
      <c r="A97" s="27"/>
      <c r="B97" s="27"/>
      <c r="C97" s="27"/>
      <c r="D97" s="27"/>
      <c r="E97" s="27"/>
      <c r="F97" s="27"/>
      <c r="G97" s="27"/>
      <c r="H97" s="27"/>
      <c r="I97" s="27"/>
      <c r="J97" s="27"/>
      <c r="K97" s="27"/>
      <c r="L97" s="35"/>
      <c r="M97" s="27"/>
      <c r="N97" s="27"/>
      <c r="O97" s="27"/>
      <c r="P97" s="27"/>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c r="AS97" s="27"/>
      <c r="AT97" s="27"/>
      <c r="AU97" s="27"/>
    </row>
    <row r="98" spans="1:47" x14ac:dyDescent="0.25">
      <c r="A98" s="27"/>
      <c r="B98" s="27"/>
      <c r="C98" s="27"/>
      <c r="D98" s="27"/>
      <c r="E98" s="27"/>
      <c r="F98" s="27"/>
      <c r="G98" s="27"/>
      <c r="H98" s="27"/>
      <c r="I98" s="27"/>
      <c r="J98" s="27"/>
      <c r="K98" s="27"/>
      <c r="L98" s="35"/>
      <c r="M98" s="27"/>
      <c r="N98" s="27"/>
      <c r="O98" s="27"/>
      <c r="P98" s="27"/>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c r="AS98" s="27"/>
      <c r="AT98" s="27"/>
      <c r="AU98" s="27"/>
    </row>
    <row r="99" spans="1:47" x14ac:dyDescent="0.25">
      <c r="A99" s="27"/>
      <c r="B99" s="27"/>
      <c r="C99" s="27"/>
      <c r="D99" s="27"/>
      <c r="E99" s="27"/>
      <c r="F99" s="27"/>
      <c r="G99" s="27"/>
      <c r="H99" s="27"/>
      <c r="I99" s="27"/>
      <c r="J99" s="27"/>
      <c r="K99" s="27"/>
      <c r="L99" s="35"/>
      <c r="M99" s="27"/>
      <c r="N99" s="27"/>
      <c r="O99" s="27"/>
      <c r="P99" s="27"/>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7"/>
      <c r="AU99" s="27"/>
    </row>
    <row r="100" spans="1:47" x14ac:dyDescent="0.25">
      <c r="A100" s="27"/>
      <c r="B100" s="27"/>
      <c r="C100" s="27"/>
      <c r="D100" s="27"/>
      <c r="E100" s="27"/>
      <c r="F100" s="27"/>
      <c r="G100" s="27"/>
      <c r="H100" s="27"/>
      <c r="I100" s="27"/>
      <c r="J100" s="27"/>
      <c r="K100" s="27"/>
      <c r="L100" s="35"/>
      <c r="M100" s="27"/>
      <c r="N100" s="27"/>
      <c r="O100" s="27"/>
      <c r="P100" s="27"/>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row>
    <row r="101" spans="1:47" x14ac:dyDescent="0.25">
      <c r="A101" s="27"/>
      <c r="B101" s="27"/>
      <c r="C101" s="27"/>
      <c r="D101" s="27"/>
      <c r="E101" s="27"/>
      <c r="F101" s="27"/>
      <c r="G101" s="27"/>
      <c r="H101" s="27"/>
      <c r="I101" s="27"/>
      <c r="J101" s="27"/>
      <c r="K101" s="27"/>
      <c r="L101" s="35"/>
      <c r="M101" s="27"/>
      <c r="N101" s="27"/>
      <c r="O101" s="27"/>
      <c r="P101" s="27"/>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row>
    <row r="102" spans="1:47" x14ac:dyDescent="0.25">
      <c r="A102" s="27"/>
      <c r="B102" s="27"/>
      <c r="C102" s="27"/>
      <c r="D102" s="27"/>
      <c r="E102" s="27"/>
      <c r="F102" s="27"/>
      <c r="G102" s="27"/>
      <c r="H102" s="27"/>
      <c r="I102" s="27"/>
      <c r="J102" s="27"/>
      <c r="K102" s="27"/>
      <c r="L102" s="35"/>
      <c r="M102" s="27"/>
      <c r="N102" s="27"/>
      <c r="O102" s="27"/>
      <c r="P102" s="27"/>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row>
    <row r="103" spans="1:47" x14ac:dyDescent="0.25">
      <c r="A103" s="27"/>
      <c r="B103" s="27"/>
      <c r="C103" s="27"/>
      <c r="D103" s="27"/>
      <c r="E103" s="27"/>
      <c r="F103" s="27"/>
      <c r="G103" s="27"/>
      <c r="H103" s="27"/>
      <c r="I103" s="27"/>
      <c r="J103" s="27"/>
      <c r="K103" s="27"/>
      <c r="L103" s="35"/>
      <c r="M103" s="27"/>
      <c r="N103" s="27"/>
      <c r="O103" s="27"/>
      <c r="P103" s="27"/>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row>
    <row r="104" spans="1:47" x14ac:dyDescent="0.25">
      <c r="A104" s="27"/>
      <c r="B104" s="27"/>
      <c r="C104" s="27"/>
      <c r="D104" s="27"/>
      <c r="E104" s="27"/>
      <c r="F104" s="27"/>
      <c r="G104" s="27"/>
      <c r="H104" s="27"/>
      <c r="I104" s="27"/>
      <c r="J104" s="27"/>
      <c r="K104" s="27"/>
      <c r="L104" s="35"/>
      <c r="M104" s="27"/>
      <c r="N104" s="27"/>
      <c r="O104" s="27"/>
      <c r="P104" s="27"/>
      <c r="Q104" s="27"/>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row>
    <row r="105" spans="1:47" x14ac:dyDescent="0.25">
      <c r="A105" s="27"/>
      <c r="B105" s="27"/>
      <c r="C105" s="27"/>
      <c r="D105" s="27"/>
      <c r="E105" s="27"/>
      <c r="F105" s="27"/>
      <c r="G105" s="27"/>
      <c r="H105" s="27"/>
      <c r="I105" s="27"/>
      <c r="J105" s="27"/>
      <c r="K105" s="27"/>
      <c r="L105" s="35"/>
      <c r="M105" s="27"/>
      <c r="N105" s="27"/>
      <c r="O105" s="27"/>
      <c r="P105" s="27"/>
      <c r="Q105" s="27"/>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c r="AO105" s="27"/>
      <c r="AP105" s="27"/>
      <c r="AQ105" s="27"/>
      <c r="AR105" s="27"/>
      <c r="AS105" s="27"/>
      <c r="AT105" s="27"/>
      <c r="AU105" s="27"/>
    </row>
    <row r="106" spans="1:47" x14ac:dyDescent="0.25">
      <c r="A106" s="27"/>
      <c r="B106" s="27"/>
      <c r="C106" s="27"/>
      <c r="D106" s="27"/>
      <c r="E106" s="27"/>
      <c r="F106" s="27"/>
      <c r="G106" s="27"/>
      <c r="H106" s="27"/>
      <c r="I106" s="27"/>
      <c r="J106" s="27"/>
      <c r="K106" s="27"/>
      <c r="L106" s="35"/>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row>
    <row r="107" spans="1:47" x14ac:dyDescent="0.25">
      <c r="A107" s="27"/>
      <c r="B107" s="27"/>
      <c r="C107" s="27"/>
      <c r="D107" s="27"/>
      <c r="E107" s="27"/>
      <c r="F107" s="27"/>
      <c r="G107" s="27"/>
      <c r="H107" s="27"/>
      <c r="I107" s="27"/>
      <c r="J107" s="27"/>
      <c r="K107" s="27"/>
      <c r="L107" s="35"/>
      <c r="M107" s="27"/>
      <c r="N107" s="27"/>
      <c r="O107" s="27"/>
      <c r="P107" s="27"/>
      <c r="Q107" s="27"/>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c r="AO107" s="27"/>
      <c r="AP107" s="27"/>
      <c r="AQ107" s="27"/>
      <c r="AR107" s="27"/>
      <c r="AS107" s="27"/>
      <c r="AT107" s="27"/>
      <c r="AU107" s="27"/>
    </row>
    <row r="108" spans="1:47" x14ac:dyDescent="0.25">
      <c r="A108" s="27"/>
      <c r="B108" s="27"/>
      <c r="C108" s="27"/>
      <c r="D108" s="27"/>
      <c r="E108" s="27"/>
      <c r="F108" s="27"/>
      <c r="G108" s="27"/>
      <c r="H108" s="27"/>
      <c r="I108" s="27"/>
      <c r="J108" s="27"/>
      <c r="K108" s="27"/>
      <c r="L108" s="35"/>
      <c r="M108" s="27"/>
      <c r="N108" s="27"/>
      <c r="O108" s="27"/>
      <c r="P108" s="27"/>
      <c r="Q108" s="27"/>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c r="AO108" s="27"/>
      <c r="AP108" s="27"/>
      <c r="AQ108" s="27"/>
      <c r="AR108" s="27"/>
      <c r="AS108" s="27"/>
      <c r="AT108" s="27"/>
      <c r="AU108" s="27"/>
    </row>
    <row r="109" spans="1:47" x14ac:dyDescent="0.25">
      <c r="A109" s="27"/>
      <c r="B109" s="27"/>
      <c r="C109" s="27"/>
      <c r="D109" s="27"/>
      <c r="E109" s="27"/>
      <c r="F109" s="27"/>
      <c r="G109" s="27"/>
      <c r="H109" s="27"/>
      <c r="I109" s="27"/>
      <c r="J109" s="27"/>
      <c r="K109" s="27"/>
      <c r="L109" s="35"/>
      <c r="M109" s="27"/>
      <c r="N109" s="27"/>
      <c r="O109" s="27"/>
      <c r="P109" s="27"/>
      <c r="Q109" s="27"/>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c r="AO109" s="27"/>
      <c r="AP109" s="27"/>
      <c r="AQ109" s="27"/>
      <c r="AR109" s="27"/>
      <c r="AS109" s="27"/>
      <c r="AT109" s="27"/>
      <c r="AU109" s="27"/>
    </row>
    <row r="110" spans="1:47" x14ac:dyDescent="0.25">
      <c r="A110" s="27"/>
      <c r="B110" s="27"/>
      <c r="C110" s="27"/>
      <c r="D110" s="27"/>
      <c r="E110" s="27"/>
      <c r="F110" s="27"/>
      <c r="G110" s="27"/>
      <c r="H110" s="27"/>
      <c r="I110" s="27"/>
      <c r="J110" s="27"/>
      <c r="K110" s="27"/>
      <c r="L110" s="35"/>
      <c r="M110" s="27"/>
      <c r="N110" s="27"/>
      <c r="O110" s="27"/>
      <c r="P110" s="27"/>
      <c r="Q110" s="27"/>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c r="AO110" s="27"/>
      <c r="AP110" s="27"/>
      <c r="AQ110" s="27"/>
      <c r="AR110" s="27"/>
      <c r="AS110" s="27"/>
      <c r="AT110" s="27"/>
      <c r="AU110" s="27"/>
    </row>
    <row r="111" spans="1:47" x14ac:dyDescent="0.25">
      <c r="A111" s="27"/>
      <c r="B111" s="27"/>
      <c r="C111" s="27"/>
      <c r="D111" s="27"/>
      <c r="E111" s="27"/>
      <c r="F111" s="27"/>
      <c r="G111" s="27"/>
      <c r="H111" s="27"/>
      <c r="I111" s="27"/>
      <c r="J111" s="27"/>
      <c r="K111" s="27"/>
      <c r="L111" s="35"/>
      <c r="M111" s="27"/>
      <c r="N111" s="27"/>
      <c r="O111" s="27"/>
      <c r="P111" s="27"/>
      <c r="Q111" s="27"/>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c r="AO111" s="27"/>
      <c r="AP111" s="27"/>
      <c r="AQ111" s="27"/>
      <c r="AR111" s="27"/>
      <c r="AS111" s="27"/>
      <c r="AT111" s="27"/>
      <c r="AU111" s="27"/>
    </row>
    <row r="112" spans="1:47" x14ac:dyDescent="0.25">
      <c r="A112" s="27"/>
      <c r="B112" s="27"/>
      <c r="C112" s="27"/>
      <c r="D112" s="27"/>
      <c r="E112" s="27"/>
      <c r="F112" s="27"/>
      <c r="G112" s="27"/>
      <c r="H112" s="27"/>
      <c r="I112" s="27"/>
      <c r="J112" s="27"/>
      <c r="K112" s="27"/>
      <c r="L112" s="35"/>
      <c r="M112" s="27"/>
      <c r="N112" s="27"/>
      <c r="O112" s="27"/>
      <c r="P112" s="27"/>
      <c r="Q112" s="27"/>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row>
    <row r="113" spans="1:47" x14ac:dyDescent="0.25">
      <c r="A113" s="27"/>
      <c r="B113" s="27"/>
      <c r="C113" s="27"/>
      <c r="D113" s="27"/>
      <c r="E113" s="27"/>
      <c r="F113" s="27"/>
      <c r="G113" s="27"/>
      <c r="H113" s="27"/>
      <c r="I113" s="27"/>
      <c r="J113" s="27"/>
      <c r="K113" s="27"/>
      <c r="L113" s="35"/>
      <c r="M113" s="27"/>
      <c r="N113" s="27"/>
      <c r="O113" s="27"/>
      <c r="P113" s="27"/>
      <c r="Q113" s="27"/>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c r="AO113" s="27"/>
      <c r="AP113" s="27"/>
      <c r="AQ113" s="27"/>
      <c r="AR113" s="27"/>
      <c r="AS113" s="27"/>
      <c r="AT113" s="27"/>
      <c r="AU113" s="27"/>
    </row>
    <row r="114" spans="1:47" x14ac:dyDescent="0.25">
      <c r="A114" s="27"/>
      <c r="B114" s="27"/>
      <c r="C114" s="27"/>
      <c r="D114" s="27"/>
      <c r="E114" s="27"/>
      <c r="F114" s="27"/>
      <c r="G114" s="27"/>
      <c r="H114" s="27"/>
      <c r="I114" s="27"/>
      <c r="J114" s="27"/>
      <c r="K114" s="27"/>
      <c r="L114" s="35"/>
      <c r="M114" s="27"/>
      <c r="N114" s="27"/>
      <c r="O114" s="27"/>
      <c r="P114" s="27"/>
      <c r="Q114" s="27"/>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c r="AO114" s="27"/>
      <c r="AP114" s="27"/>
      <c r="AQ114" s="27"/>
      <c r="AR114" s="27"/>
      <c r="AS114" s="27"/>
      <c r="AT114" s="27"/>
      <c r="AU114" s="27"/>
    </row>
    <row r="115" spans="1:47" x14ac:dyDescent="0.25">
      <c r="A115" s="27"/>
      <c r="B115" s="27"/>
      <c r="C115" s="27"/>
      <c r="D115" s="27"/>
      <c r="E115" s="27"/>
      <c r="F115" s="27"/>
      <c r="G115" s="27"/>
      <c r="H115" s="27"/>
      <c r="I115" s="27"/>
      <c r="J115" s="27"/>
      <c r="K115" s="27"/>
      <c r="L115" s="35"/>
      <c r="M115" s="27"/>
      <c r="N115" s="27"/>
      <c r="O115" s="27"/>
      <c r="P115" s="27"/>
      <c r="Q115" s="27"/>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c r="AO115" s="27"/>
      <c r="AP115" s="27"/>
      <c r="AQ115" s="27"/>
      <c r="AR115" s="27"/>
      <c r="AS115" s="27"/>
      <c r="AT115" s="27"/>
      <c r="AU115" s="27"/>
    </row>
    <row r="116" spans="1:47" x14ac:dyDescent="0.25">
      <c r="A116" s="27"/>
      <c r="B116" s="27"/>
      <c r="C116" s="27"/>
      <c r="D116" s="27"/>
      <c r="E116" s="27"/>
      <c r="F116" s="27"/>
      <c r="G116" s="27"/>
      <c r="H116" s="27"/>
      <c r="I116" s="27"/>
      <c r="J116" s="27"/>
      <c r="K116" s="27"/>
      <c r="L116" s="35"/>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row>
    <row r="117" spans="1:47" x14ac:dyDescent="0.25">
      <c r="A117" s="27"/>
      <c r="B117" s="27"/>
      <c r="C117" s="27"/>
      <c r="D117" s="27"/>
      <c r="E117" s="27"/>
      <c r="F117" s="27"/>
      <c r="G117" s="27"/>
      <c r="H117" s="27"/>
      <c r="I117" s="27"/>
      <c r="J117" s="27"/>
      <c r="K117" s="27"/>
      <c r="L117" s="35"/>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c r="AO117" s="27"/>
      <c r="AP117" s="27"/>
      <c r="AQ117" s="27"/>
      <c r="AR117" s="27"/>
      <c r="AS117" s="27"/>
      <c r="AT117" s="27"/>
      <c r="AU117" s="27"/>
    </row>
    <row r="118" spans="1:47" x14ac:dyDescent="0.25">
      <c r="A118" s="27"/>
      <c r="B118" s="27"/>
      <c r="C118" s="27"/>
      <c r="D118" s="27"/>
      <c r="E118" s="27"/>
      <c r="F118" s="27"/>
      <c r="G118" s="27"/>
      <c r="H118" s="27"/>
      <c r="I118" s="27"/>
      <c r="J118" s="27"/>
      <c r="K118" s="27"/>
      <c r="L118" s="35"/>
      <c r="M118" s="27"/>
      <c r="N118" s="27"/>
      <c r="O118" s="27"/>
      <c r="P118" s="27"/>
      <c r="Q118" s="27"/>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c r="AO118" s="27"/>
      <c r="AP118" s="27"/>
      <c r="AQ118" s="27"/>
      <c r="AR118" s="27"/>
      <c r="AS118" s="27"/>
      <c r="AT118" s="27"/>
      <c r="AU118" s="27"/>
    </row>
    <row r="119" spans="1:47" x14ac:dyDescent="0.25">
      <c r="A119" s="27"/>
      <c r="B119" s="27"/>
      <c r="C119" s="27"/>
      <c r="D119" s="27"/>
      <c r="E119" s="27"/>
      <c r="F119" s="27"/>
      <c r="G119" s="27"/>
      <c r="H119" s="27"/>
      <c r="I119" s="27"/>
      <c r="J119" s="27"/>
      <c r="K119" s="27"/>
      <c r="L119" s="35"/>
      <c r="M119" s="27"/>
      <c r="N119" s="27"/>
      <c r="O119" s="27"/>
      <c r="P119" s="27"/>
      <c r="Q119" s="27"/>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c r="AO119" s="27"/>
      <c r="AP119" s="27"/>
      <c r="AQ119" s="27"/>
      <c r="AR119" s="27"/>
      <c r="AS119" s="27"/>
      <c r="AT119" s="27"/>
      <c r="AU119" s="27"/>
    </row>
    <row r="120" spans="1:47" x14ac:dyDescent="0.25">
      <c r="A120" s="27"/>
      <c r="B120" s="27"/>
      <c r="C120" s="27"/>
      <c r="D120" s="27"/>
      <c r="E120" s="27"/>
      <c r="F120" s="27"/>
      <c r="G120" s="27"/>
      <c r="H120" s="27"/>
      <c r="I120" s="27"/>
      <c r="J120" s="27"/>
      <c r="K120" s="27"/>
      <c r="L120" s="35"/>
      <c r="M120" s="27"/>
      <c r="N120" s="27"/>
      <c r="O120" s="27"/>
      <c r="P120" s="27"/>
      <c r="Q120" s="27"/>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c r="AO120" s="27"/>
      <c r="AP120" s="27"/>
      <c r="AQ120" s="27"/>
      <c r="AR120" s="27"/>
      <c r="AS120" s="27"/>
      <c r="AT120" s="27"/>
      <c r="AU120" s="27"/>
    </row>
    <row r="121" spans="1:47" x14ac:dyDescent="0.25">
      <c r="A121" s="27"/>
      <c r="B121" s="27"/>
      <c r="C121" s="27"/>
      <c r="D121" s="27"/>
      <c r="E121" s="27"/>
      <c r="F121" s="27"/>
      <c r="G121" s="27"/>
      <c r="H121" s="27"/>
      <c r="I121" s="27"/>
      <c r="J121" s="27"/>
      <c r="K121" s="27"/>
      <c r="L121" s="35"/>
      <c r="M121" s="27"/>
      <c r="N121" s="27"/>
      <c r="O121" s="27"/>
      <c r="P121" s="27"/>
      <c r="Q121" s="27"/>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c r="AO121" s="27"/>
      <c r="AP121" s="27"/>
      <c r="AQ121" s="27"/>
      <c r="AR121" s="27"/>
      <c r="AS121" s="27"/>
      <c r="AT121" s="27"/>
      <c r="AU121" s="27"/>
    </row>
    <row r="122" spans="1:47" x14ac:dyDescent="0.25">
      <c r="A122" s="27"/>
      <c r="B122" s="27"/>
      <c r="C122" s="27"/>
      <c r="D122" s="27"/>
      <c r="E122" s="27"/>
      <c r="F122" s="27"/>
      <c r="G122" s="27"/>
      <c r="H122" s="27"/>
      <c r="I122" s="27"/>
      <c r="J122" s="27"/>
      <c r="K122" s="27"/>
      <c r="L122" s="35"/>
      <c r="M122" s="27"/>
      <c r="N122" s="27"/>
      <c r="O122" s="27"/>
      <c r="P122" s="27"/>
      <c r="Q122" s="27"/>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c r="AO122" s="27"/>
      <c r="AP122" s="27"/>
      <c r="AQ122" s="27"/>
      <c r="AR122" s="27"/>
      <c r="AS122" s="27"/>
      <c r="AT122" s="27"/>
      <c r="AU122" s="27"/>
    </row>
    <row r="123" spans="1:47" x14ac:dyDescent="0.25">
      <c r="A123" s="27"/>
      <c r="B123" s="27"/>
      <c r="C123" s="27"/>
      <c r="D123" s="27"/>
      <c r="E123" s="27"/>
      <c r="F123" s="27"/>
      <c r="G123" s="27"/>
      <c r="H123" s="27"/>
      <c r="I123" s="27"/>
      <c r="J123" s="27"/>
      <c r="K123" s="27"/>
      <c r="L123" s="35"/>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c r="AO123" s="27"/>
      <c r="AP123" s="27"/>
      <c r="AQ123" s="27"/>
      <c r="AR123" s="27"/>
      <c r="AS123" s="27"/>
      <c r="AT123" s="27"/>
      <c r="AU123" s="27"/>
    </row>
    <row r="124" spans="1:47" x14ac:dyDescent="0.25">
      <c r="A124" s="27"/>
      <c r="B124" s="27"/>
      <c r="C124" s="27"/>
      <c r="D124" s="27"/>
      <c r="E124" s="27"/>
      <c r="F124" s="27"/>
      <c r="G124" s="27"/>
      <c r="H124" s="27"/>
      <c r="I124" s="27"/>
      <c r="J124" s="27"/>
      <c r="K124" s="27"/>
      <c r="L124" s="35"/>
      <c r="M124" s="27"/>
      <c r="N124" s="27"/>
      <c r="O124" s="27"/>
      <c r="P124" s="27"/>
      <c r="Q124" s="27"/>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c r="AO124" s="27"/>
      <c r="AP124" s="27"/>
      <c r="AQ124" s="27"/>
      <c r="AR124" s="27"/>
      <c r="AS124" s="27"/>
      <c r="AT124" s="27"/>
      <c r="AU124" s="27"/>
    </row>
    <row r="125" spans="1:47" x14ac:dyDescent="0.25">
      <c r="A125" s="27"/>
      <c r="B125" s="27"/>
      <c r="C125" s="27"/>
      <c r="D125" s="27"/>
      <c r="E125" s="27"/>
      <c r="F125" s="27"/>
      <c r="G125" s="27"/>
      <c r="H125" s="27"/>
      <c r="I125" s="27"/>
      <c r="J125" s="27"/>
      <c r="K125" s="27"/>
      <c r="L125" s="35"/>
      <c r="M125" s="27"/>
      <c r="N125" s="27"/>
      <c r="O125" s="27"/>
      <c r="P125" s="27"/>
      <c r="Q125" s="27"/>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c r="AO125" s="27"/>
      <c r="AP125" s="27"/>
      <c r="AQ125" s="27"/>
      <c r="AR125" s="27"/>
      <c r="AS125" s="27"/>
      <c r="AT125" s="27"/>
      <c r="AU125" s="27"/>
    </row>
    <row r="126" spans="1:47" x14ac:dyDescent="0.25">
      <c r="A126" s="27"/>
      <c r="B126" s="27"/>
      <c r="C126" s="27"/>
      <c r="D126" s="27"/>
      <c r="E126" s="27"/>
      <c r="F126" s="27"/>
      <c r="G126" s="27"/>
      <c r="H126" s="27"/>
      <c r="I126" s="27"/>
      <c r="J126" s="27"/>
      <c r="K126" s="27"/>
      <c r="L126" s="35"/>
      <c r="M126" s="27"/>
      <c r="N126" s="27"/>
      <c r="O126" s="27"/>
      <c r="P126" s="27"/>
      <c r="Q126" s="27"/>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c r="AO126" s="27"/>
      <c r="AP126" s="27"/>
      <c r="AQ126" s="27"/>
      <c r="AR126" s="27"/>
      <c r="AS126" s="27"/>
      <c r="AT126" s="27"/>
      <c r="AU126" s="27"/>
    </row>
    <row r="127" spans="1:47" x14ac:dyDescent="0.25">
      <c r="A127" s="27"/>
      <c r="B127" s="27"/>
      <c r="C127" s="27"/>
      <c r="D127" s="27"/>
      <c r="E127" s="27"/>
      <c r="F127" s="27"/>
      <c r="G127" s="27"/>
      <c r="H127" s="27"/>
      <c r="I127" s="27"/>
      <c r="J127" s="27"/>
      <c r="K127" s="27"/>
      <c r="L127" s="35"/>
      <c r="M127" s="27"/>
      <c r="N127" s="27"/>
      <c r="O127" s="27"/>
      <c r="P127" s="27"/>
      <c r="Q127" s="27"/>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c r="AO127" s="27"/>
      <c r="AP127" s="27"/>
      <c r="AQ127" s="27"/>
      <c r="AR127" s="27"/>
      <c r="AS127" s="27"/>
      <c r="AT127" s="27"/>
      <c r="AU127" s="27"/>
    </row>
    <row r="128" spans="1:47" x14ac:dyDescent="0.25">
      <c r="A128" s="27"/>
      <c r="B128" s="27"/>
      <c r="C128" s="27"/>
      <c r="D128" s="27"/>
      <c r="E128" s="27"/>
      <c r="F128" s="27"/>
      <c r="G128" s="27"/>
      <c r="H128" s="27"/>
      <c r="I128" s="27"/>
      <c r="J128" s="27"/>
      <c r="K128" s="27"/>
      <c r="L128" s="35"/>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c r="AO128" s="27"/>
      <c r="AP128" s="27"/>
      <c r="AQ128" s="27"/>
      <c r="AR128" s="27"/>
      <c r="AS128" s="27"/>
      <c r="AT128" s="27"/>
      <c r="AU128" s="27"/>
    </row>
    <row r="129" spans="1:47" x14ac:dyDescent="0.25">
      <c r="A129" s="27"/>
      <c r="B129" s="27"/>
      <c r="C129" s="27"/>
      <c r="D129" s="27"/>
      <c r="E129" s="27"/>
      <c r="F129" s="27"/>
      <c r="G129" s="27"/>
      <c r="H129" s="27"/>
      <c r="I129" s="27"/>
      <c r="J129" s="27"/>
      <c r="K129" s="27"/>
      <c r="L129" s="35"/>
      <c r="M129" s="27"/>
      <c r="N129" s="27"/>
      <c r="O129" s="27"/>
      <c r="P129" s="27"/>
      <c r="Q129" s="27"/>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c r="AO129" s="27"/>
      <c r="AP129" s="27"/>
      <c r="AQ129" s="27"/>
      <c r="AR129" s="27"/>
      <c r="AS129" s="27"/>
      <c r="AT129" s="27"/>
      <c r="AU129" s="27"/>
    </row>
    <row r="130" spans="1:47" x14ac:dyDescent="0.25">
      <c r="A130" s="27"/>
      <c r="B130" s="27"/>
      <c r="C130" s="27"/>
      <c r="D130" s="27"/>
      <c r="E130" s="27"/>
      <c r="F130" s="27"/>
      <c r="G130" s="27"/>
      <c r="H130" s="27"/>
      <c r="I130" s="27"/>
      <c r="J130" s="27"/>
      <c r="K130" s="27"/>
      <c r="L130" s="35"/>
      <c r="M130" s="27"/>
      <c r="N130" s="27"/>
      <c r="O130" s="27"/>
      <c r="P130" s="27"/>
      <c r="Q130" s="27"/>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c r="AO130" s="27"/>
      <c r="AP130" s="27"/>
      <c r="AQ130" s="27"/>
      <c r="AR130" s="27"/>
      <c r="AS130" s="27"/>
      <c r="AT130" s="27"/>
      <c r="AU130" s="27"/>
    </row>
    <row r="131" spans="1:47" x14ac:dyDescent="0.25">
      <c r="A131" s="27"/>
      <c r="B131" s="27"/>
      <c r="C131" s="27"/>
      <c r="D131" s="27"/>
      <c r="E131" s="27"/>
      <c r="F131" s="27"/>
      <c r="G131" s="27"/>
      <c r="H131" s="27"/>
      <c r="I131" s="27"/>
      <c r="J131" s="27"/>
      <c r="K131" s="27"/>
      <c r="L131" s="35"/>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c r="AS131" s="27"/>
      <c r="AT131" s="27"/>
      <c r="AU131" s="27"/>
    </row>
    <row r="132" spans="1:47" x14ac:dyDescent="0.25">
      <c r="A132" s="27"/>
      <c r="B132" s="27"/>
      <c r="C132" s="27"/>
      <c r="D132" s="27"/>
      <c r="E132" s="27"/>
      <c r="F132" s="27"/>
      <c r="G132" s="27"/>
      <c r="H132" s="27"/>
      <c r="I132" s="27"/>
      <c r="J132" s="27"/>
      <c r="K132" s="27"/>
      <c r="L132" s="35"/>
      <c r="M132" s="27"/>
      <c r="N132" s="27"/>
      <c r="O132" s="27"/>
      <c r="P132" s="27"/>
      <c r="Q132" s="27"/>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c r="AO132" s="27"/>
      <c r="AP132" s="27"/>
      <c r="AQ132" s="27"/>
      <c r="AR132" s="27"/>
      <c r="AS132" s="27"/>
      <c r="AT132" s="27"/>
      <c r="AU132" s="27"/>
    </row>
    <row r="133" spans="1:47" x14ac:dyDescent="0.25">
      <c r="A133" s="27"/>
      <c r="B133" s="27"/>
      <c r="C133" s="27"/>
      <c r="D133" s="27"/>
      <c r="E133" s="27"/>
      <c r="F133" s="27"/>
      <c r="G133" s="27"/>
      <c r="H133" s="27"/>
      <c r="I133" s="27"/>
      <c r="J133" s="27"/>
      <c r="K133" s="27"/>
      <c r="L133" s="35"/>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c r="AO133" s="27"/>
      <c r="AP133" s="27"/>
      <c r="AQ133" s="27"/>
      <c r="AR133" s="27"/>
      <c r="AS133" s="27"/>
      <c r="AT133" s="27"/>
      <c r="AU133" s="27"/>
    </row>
    <row r="134" spans="1:47" x14ac:dyDescent="0.25">
      <c r="A134" s="27"/>
      <c r="B134" s="27"/>
      <c r="C134" s="27"/>
      <c r="D134" s="27"/>
      <c r="E134" s="27"/>
      <c r="F134" s="27"/>
      <c r="G134" s="27"/>
      <c r="H134" s="27"/>
      <c r="I134" s="27"/>
      <c r="J134" s="27"/>
      <c r="K134" s="27"/>
      <c r="L134" s="35"/>
      <c r="M134" s="27"/>
      <c r="N134" s="27"/>
      <c r="O134" s="27"/>
      <c r="P134" s="27"/>
      <c r="Q134" s="27"/>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c r="AO134" s="27"/>
      <c r="AP134" s="27"/>
      <c r="AQ134" s="27"/>
      <c r="AR134" s="27"/>
      <c r="AS134" s="27"/>
      <c r="AT134" s="27"/>
      <c r="AU134" s="27"/>
    </row>
    <row r="135" spans="1:47" x14ac:dyDescent="0.25">
      <c r="A135" s="27"/>
      <c r="B135" s="27"/>
      <c r="C135" s="27"/>
      <c r="D135" s="27"/>
      <c r="E135" s="27"/>
      <c r="F135" s="27"/>
      <c r="G135" s="27"/>
      <c r="H135" s="27"/>
      <c r="I135" s="27"/>
      <c r="J135" s="27"/>
      <c r="K135" s="27"/>
      <c r="L135" s="35"/>
      <c r="M135" s="27"/>
      <c r="N135" s="27"/>
      <c r="O135" s="27"/>
      <c r="P135" s="27"/>
      <c r="Q135" s="27"/>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c r="AO135" s="27"/>
      <c r="AP135" s="27"/>
      <c r="AQ135" s="27"/>
      <c r="AR135" s="27"/>
      <c r="AS135" s="27"/>
      <c r="AT135" s="27"/>
      <c r="AU135" s="27"/>
    </row>
    <row r="136" spans="1:47" x14ac:dyDescent="0.25">
      <c r="A136" s="27"/>
      <c r="B136" s="27"/>
      <c r="C136" s="27"/>
      <c r="D136" s="27"/>
      <c r="E136" s="27"/>
      <c r="F136" s="27"/>
      <c r="G136" s="27"/>
      <c r="H136" s="27"/>
      <c r="I136" s="27"/>
      <c r="J136" s="27"/>
      <c r="K136" s="27"/>
      <c r="L136" s="35"/>
      <c r="M136" s="27"/>
      <c r="N136" s="27"/>
      <c r="O136" s="27"/>
      <c r="P136" s="27"/>
      <c r="Q136" s="27"/>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c r="AO136" s="27"/>
      <c r="AP136" s="27"/>
      <c r="AQ136" s="27"/>
      <c r="AR136" s="27"/>
      <c r="AS136" s="27"/>
      <c r="AT136" s="27"/>
      <c r="AU136" s="27"/>
    </row>
    <row r="137" spans="1:47" x14ac:dyDescent="0.25">
      <c r="A137" s="27"/>
      <c r="B137" s="27"/>
      <c r="C137" s="27"/>
      <c r="D137" s="27"/>
      <c r="E137" s="27"/>
      <c r="F137" s="27"/>
      <c r="G137" s="27"/>
      <c r="H137" s="27"/>
      <c r="I137" s="27"/>
      <c r="J137" s="27"/>
      <c r="K137" s="27"/>
      <c r="L137" s="35"/>
      <c r="M137" s="27"/>
      <c r="N137" s="27"/>
      <c r="O137" s="27"/>
      <c r="P137" s="27"/>
      <c r="Q137" s="27"/>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c r="AO137" s="27"/>
      <c r="AP137" s="27"/>
      <c r="AQ137" s="27"/>
      <c r="AR137" s="27"/>
      <c r="AS137" s="27"/>
      <c r="AT137" s="27"/>
      <c r="AU137" s="27"/>
    </row>
    <row r="138" spans="1:47" x14ac:dyDescent="0.25">
      <c r="A138" s="27"/>
      <c r="B138" s="27"/>
      <c r="C138" s="27"/>
      <c r="D138" s="27"/>
      <c r="E138" s="27"/>
      <c r="F138" s="27"/>
      <c r="G138" s="27"/>
      <c r="H138" s="27"/>
      <c r="I138" s="27"/>
      <c r="J138" s="27"/>
      <c r="K138" s="27"/>
      <c r="L138" s="35"/>
      <c r="M138" s="27"/>
      <c r="N138" s="27"/>
      <c r="O138" s="27"/>
      <c r="P138" s="27"/>
      <c r="Q138" s="27"/>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c r="AO138" s="27"/>
      <c r="AP138" s="27"/>
      <c r="AQ138" s="27"/>
      <c r="AR138" s="27"/>
      <c r="AS138" s="27"/>
      <c r="AT138" s="27"/>
      <c r="AU138" s="27"/>
    </row>
    <row r="139" spans="1:47" x14ac:dyDescent="0.25">
      <c r="A139" s="27"/>
      <c r="B139" s="27"/>
      <c r="C139" s="27"/>
      <c r="D139" s="27"/>
      <c r="E139" s="27"/>
      <c r="F139" s="27"/>
      <c r="G139" s="27"/>
      <c r="H139" s="27"/>
      <c r="I139" s="27"/>
      <c r="J139" s="27"/>
      <c r="K139" s="27"/>
      <c r="L139" s="35"/>
      <c r="M139" s="27"/>
      <c r="N139" s="27"/>
      <c r="O139" s="27"/>
      <c r="P139" s="27"/>
      <c r="Q139" s="27"/>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c r="AO139" s="27"/>
      <c r="AP139" s="27"/>
      <c r="AQ139" s="27"/>
      <c r="AR139" s="27"/>
      <c r="AS139" s="27"/>
      <c r="AT139" s="27"/>
      <c r="AU139" s="27"/>
    </row>
    <row r="140" spans="1:47" x14ac:dyDescent="0.25">
      <c r="A140" s="27"/>
      <c r="B140" s="27"/>
      <c r="C140" s="27"/>
      <c r="D140" s="27"/>
      <c r="E140" s="27"/>
      <c r="F140" s="27"/>
      <c r="G140" s="27"/>
      <c r="H140" s="27"/>
      <c r="I140" s="27"/>
      <c r="J140" s="27"/>
      <c r="K140" s="27"/>
      <c r="L140" s="35"/>
      <c r="M140" s="27"/>
      <c r="N140" s="27"/>
      <c r="O140" s="27"/>
      <c r="P140" s="27"/>
      <c r="Q140" s="27"/>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c r="AO140" s="27"/>
      <c r="AP140" s="27"/>
      <c r="AQ140" s="27"/>
      <c r="AR140" s="27"/>
      <c r="AS140" s="27"/>
      <c r="AT140" s="27"/>
      <c r="AU140" s="27"/>
    </row>
    <row r="141" spans="1:47" x14ac:dyDescent="0.25">
      <c r="A141" s="27"/>
      <c r="B141" s="27"/>
      <c r="C141" s="27"/>
      <c r="D141" s="27"/>
      <c r="E141" s="27"/>
      <c r="F141" s="27"/>
      <c r="G141" s="27"/>
      <c r="H141" s="27"/>
      <c r="I141" s="27"/>
      <c r="J141" s="27"/>
      <c r="K141" s="27"/>
      <c r="L141" s="35"/>
      <c r="M141" s="27"/>
      <c r="N141" s="27"/>
      <c r="O141" s="27"/>
      <c r="P141" s="27"/>
      <c r="Q141" s="27"/>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c r="AO141" s="27"/>
      <c r="AP141" s="27"/>
      <c r="AQ141" s="27"/>
      <c r="AR141" s="27"/>
      <c r="AS141" s="27"/>
      <c r="AT141" s="27"/>
      <c r="AU141" s="27"/>
    </row>
    <row r="142" spans="1:47" x14ac:dyDescent="0.25">
      <c r="A142" s="27"/>
      <c r="B142" s="27"/>
      <c r="C142" s="27"/>
      <c r="D142" s="27"/>
      <c r="E142" s="27"/>
      <c r="F142" s="27"/>
      <c r="G142" s="27"/>
      <c r="H142" s="27"/>
      <c r="I142" s="27"/>
      <c r="J142" s="27"/>
      <c r="K142" s="27"/>
      <c r="L142" s="35"/>
      <c r="M142" s="27"/>
      <c r="N142" s="27"/>
      <c r="O142" s="27"/>
      <c r="P142" s="27"/>
      <c r="Q142" s="27"/>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c r="AO142" s="27"/>
      <c r="AP142" s="27"/>
      <c r="AQ142" s="27"/>
      <c r="AR142" s="27"/>
      <c r="AS142" s="27"/>
      <c r="AT142" s="27"/>
      <c r="AU142" s="27"/>
    </row>
    <row r="143" spans="1:47" x14ac:dyDescent="0.25">
      <c r="A143" s="27"/>
      <c r="B143" s="27"/>
      <c r="C143" s="27"/>
      <c r="D143" s="27"/>
      <c r="E143" s="27"/>
      <c r="F143" s="27"/>
      <c r="G143" s="27"/>
      <c r="H143" s="27"/>
      <c r="I143" s="27"/>
      <c r="J143" s="27"/>
      <c r="K143" s="27"/>
      <c r="L143" s="35"/>
      <c r="M143" s="27"/>
      <c r="N143" s="27"/>
      <c r="O143" s="27"/>
      <c r="P143" s="27"/>
      <c r="Q143" s="27"/>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c r="AO143" s="27"/>
      <c r="AP143" s="27"/>
      <c r="AQ143" s="27"/>
      <c r="AR143" s="27"/>
      <c r="AS143" s="27"/>
      <c r="AT143" s="27"/>
      <c r="AU143" s="27"/>
    </row>
    <row r="144" spans="1:47" x14ac:dyDescent="0.25">
      <c r="A144" s="27"/>
      <c r="B144" s="27"/>
      <c r="C144" s="27"/>
      <c r="D144" s="27"/>
      <c r="E144" s="27"/>
      <c r="F144" s="27"/>
      <c r="G144" s="27"/>
      <c r="H144" s="27"/>
      <c r="I144" s="27"/>
      <c r="J144" s="27"/>
      <c r="K144" s="27"/>
      <c r="L144" s="35"/>
      <c r="M144" s="27"/>
      <c r="N144" s="27"/>
      <c r="O144" s="27"/>
      <c r="P144" s="27"/>
      <c r="Q144" s="27"/>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c r="AO144" s="27"/>
      <c r="AP144" s="27"/>
      <c r="AQ144" s="27"/>
      <c r="AR144" s="27"/>
      <c r="AS144" s="27"/>
      <c r="AT144" s="27"/>
      <c r="AU144" s="27"/>
    </row>
    <row r="145" spans="1:47" x14ac:dyDescent="0.25">
      <c r="A145" s="27"/>
      <c r="B145" s="27"/>
      <c r="C145" s="27"/>
      <c r="D145" s="27"/>
      <c r="E145" s="27"/>
      <c r="F145" s="27"/>
      <c r="G145" s="27"/>
      <c r="H145" s="27"/>
      <c r="I145" s="27"/>
      <c r="J145" s="27"/>
      <c r="K145" s="27"/>
      <c r="L145" s="35"/>
      <c r="M145" s="27"/>
      <c r="N145" s="27"/>
      <c r="O145" s="27"/>
      <c r="P145" s="27"/>
      <c r="Q145" s="27"/>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c r="AO145" s="27"/>
      <c r="AP145" s="27"/>
      <c r="AQ145" s="27"/>
      <c r="AR145" s="27"/>
      <c r="AS145" s="27"/>
      <c r="AT145" s="27"/>
      <c r="AU145" s="27"/>
    </row>
    <row r="146" spans="1:47" x14ac:dyDescent="0.25">
      <c r="A146" s="27"/>
      <c r="B146" s="27"/>
      <c r="C146" s="27"/>
      <c r="D146" s="27"/>
      <c r="E146" s="27"/>
      <c r="F146" s="27"/>
      <c r="G146" s="27"/>
      <c r="H146" s="27"/>
      <c r="I146" s="27"/>
      <c r="J146" s="27"/>
      <c r="K146" s="27"/>
      <c r="L146" s="35"/>
      <c r="M146" s="27"/>
      <c r="N146" s="27"/>
      <c r="O146" s="27"/>
      <c r="P146" s="27"/>
      <c r="Q146" s="27"/>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c r="AO146" s="27"/>
      <c r="AP146" s="27"/>
      <c r="AQ146" s="27"/>
      <c r="AR146" s="27"/>
      <c r="AS146" s="27"/>
      <c r="AT146" s="27"/>
      <c r="AU146" s="27"/>
    </row>
    <row r="147" spans="1:47" x14ac:dyDescent="0.25">
      <c r="A147" s="27"/>
      <c r="B147" s="27"/>
      <c r="C147" s="27"/>
      <c r="D147" s="27"/>
      <c r="E147" s="27"/>
      <c r="F147" s="27"/>
      <c r="G147" s="27"/>
      <c r="H147" s="27"/>
      <c r="I147" s="27"/>
      <c r="J147" s="27"/>
      <c r="K147" s="27"/>
      <c r="L147" s="35"/>
      <c r="M147" s="27"/>
      <c r="N147" s="27"/>
      <c r="O147" s="27"/>
      <c r="P147" s="27"/>
      <c r="Q147" s="27"/>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c r="AO147" s="27"/>
      <c r="AP147" s="27"/>
      <c r="AQ147" s="27"/>
      <c r="AR147" s="27"/>
      <c r="AS147" s="27"/>
      <c r="AT147" s="27"/>
      <c r="AU147" s="27"/>
    </row>
    <row r="148" spans="1:47" x14ac:dyDescent="0.25">
      <c r="A148" s="27"/>
      <c r="B148" s="27"/>
      <c r="C148" s="27"/>
      <c r="D148" s="27"/>
      <c r="E148" s="27"/>
      <c r="F148" s="27"/>
      <c r="G148" s="27"/>
      <c r="H148" s="27"/>
      <c r="I148" s="27"/>
      <c r="J148" s="27"/>
      <c r="K148" s="27"/>
      <c r="L148" s="35"/>
      <c r="M148" s="27"/>
      <c r="N148" s="27"/>
      <c r="O148" s="27"/>
      <c r="P148" s="27"/>
      <c r="Q148" s="27"/>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c r="AO148" s="27"/>
      <c r="AP148" s="27"/>
      <c r="AQ148" s="27"/>
      <c r="AR148" s="27"/>
      <c r="AS148" s="27"/>
      <c r="AT148" s="27"/>
      <c r="AU148" s="27"/>
    </row>
    <row r="149" spans="1:47" x14ac:dyDescent="0.25">
      <c r="A149" s="27"/>
      <c r="B149" s="27"/>
      <c r="C149" s="27"/>
      <c r="D149" s="27"/>
      <c r="E149" s="27"/>
      <c r="F149" s="27"/>
      <c r="G149" s="27"/>
      <c r="H149" s="27"/>
      <c r="I149" s="27"/>
      <c r="J149" s="27"/>
      <c r="K149" s="27"/>
      <c r="L149" s="35"/>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c r="AO149" s="27"/>
      <c r="AP149" s="27"/>
      <c r="AQ149" s="27"/>
      <c r="AR149" s="27"/>
      <c r="AS149" s="27"/>
      <c r="AT149" s="27"/>
      <c r="AU149" s="27"/>
    </row>
    <row r="150" spans="1:47" x14ac:dyDescent="0.25">
      <c r="A150" s="27"/>
      <c r="B150" s="27"/>
      <c r="C150" s="27"/>
      <c r="D150" s="27"/>
      <c r="E150" s="27"/>
      <c r="F150" s="27"/>
      <c r="G150" s="27"/>
      <c r="H150" s="27"/>
      <c r="I150" s="27"/>
      <c r="J150" s="27"/>
      <c r="K150" s="27"/>
      <c r="L150" s="35"/>
      <c r="M150" s="27"/>
      <c r="N150" s="27"/>
      <c r="O150" s="27"/>
      <c r="P150" s="27"/>
      <c r="Q150" s="27"/>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c r="AO150" s="27"/>
      <c r="AP150" s="27"/>
      <c r="AQ150" s="27"/>
      <c r="AR150" s="27"/>
      <c r="AS150" s="27"/>
      <c r="AT150" s="27"/>
      <c r="AU150" s="27"/>
    </row>
    <row r="151" spans="1:47" x14ac:dyDescent="0.25">
      <c r="A151" s="27"/>
      <c r="B151" s="27"/>
      <c r="C151" s="27"/>
      <c r="D151" s="27"/>
      <c r="E151" s="27"/>
      <c r="F151" s="27"/>
      <c r="G151" s="27"/>
      <c r="H151" s="27"/>
      <c r="I151" s="27"/>
      <c r="J151" s="27"/>
      <c r="K151" s="27"/>
      <c r="L151" s="35"/>
      <c r="M151" s="27"/>
      <c r="N151" s="27"/>
      <c r="O151" s="27"/>
      <c r="P151" s="27"/>
      <c r="Q151" s="27"/>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c r="AO151" s="27"/>
      <c r="AP151" s="27"/>
      <c r="AQ151" s="27"/>
      <c r="AR151" s="27"/>
      <c r="AS151" s="27"/>
      <c r="AT151" s="27"/>
      <c r="AU151" s="27"/>
    </row>
    <row r="152" spans="1:47" x14ac:dyDescent="0.25">
      <c r="A152" s="27"/>
      <c r="B152" s="27"/>
      <c r="C152" s="27"/>
      <c r="D152" s="27"/>
      <c r="E152" s="27"/>
      <c r="F152" s="27"/>
      <c r="G152" s="27"/>
      <c r="H152" s="27"/>
      <c r="I152" s="27"/>
      <c r="J152" s="27"/>
      <c r="K152" s="27"/>
      <c r="L152" s="35"/>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c r="AS152" s="27"/>
      <c r="AT152" s="27"/>
      <c r="AU152" s="27"/>
    </row>
    <row r="153" spans="1:47" x14ac:dyDescent="0.25">
      <c r="A153" s="27"/>
      <c r="B153" s="27"/>
      <c r="C153" s="27"/>
      <c r="D153" s="27"/>
      <c r="E153" s="27"/>
      <c r="F153" s="27"/>
      <c r="G153" s="27"/>
      <c r="H153" s="27"/>
      <c r="I153" s="27"/>
      <c r="J153" s="27"/>
      <c r="K153" s="27"/>
      <c r="L153" s="35"/>
      <c r="M153" s="27"/>
      <c r="N153" s="27"/>
      <c r="O153" s="27"/>
      <c r="P153" s="27"/>
      <c r="Q153" s="27"/>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c r="AO153" s="27"/>
      <c r="AP153" s="27"/>
      <c r="AQ153" s="27"/>
      <c r="AR153" s="27"/>
      <c r="AS153" s="27"/>
      <c r="AT153" s="27"/>
      <c r="AU153" s="27"/>
    </row>
    <row r="154" spans="1:47" x14ac:dyDescent="0.25">
      <c r="A154" s="27"/>
      <c r="B154" s="27"/>
      <c r="C154" s="27"/>
      <c r="D154" s="27"/>
      <c r="E154" s="27"/>
      <c r="F154" s="27"/>
      <c r="G154" s="27"/>
      <c r="H154" s="27"/>
      <c r="I154" s="27"/>
      <c r="J154" s="27"/>
      <c r="K154" s="27"/>
      <c r="L154" s="35"/>
      <c r="M154" s="27"/>
      <c r="N154" s="27"/>
      <c r="O154" s="27"/>
      <c r="P154" s="27"/>
      <c r="Q154" s="27"/>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c r="AO154" s="27"/>
      <c r="AP154" s="27"/>
      <c r="AQ154" s="27"/>
      <c r="AR154" s="27"/>
      <c r="AS154" s="27"/>
      <c r="AT154" s="27"/>
      <c r="AU154" s="27"/>
    </row>
    <row r="155" spans="1:47" x14ac:dyDescent="0.25">
      <c r="A155" s="27"/>
      <c r="B155" s="27"/>
      <c r="C155" s="27"/>
      <c r="D155" s="27"/>
      <c r="E155" s="27"/>
      <c r="F155" s="27"/>
      <c r="G155" s="27"/>
      <c r="H155" s="27"/>
      <c r="I155" s="27"/>
      <c r="J155" s="27"/>
      <c r="K155" s="27"/>
      <c r="L155" s="35"/>
      <c r="M155" s="27"/>
      <c r="N155" s="27"/>
      <c r="O155" s="27"/>
      <c r="P155" s="27"/>
      <c r="Q155" s="27"/>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c r="AO155" s="27"/>
      <c r="AP155" s="27"/>
      <c r="AQ155" s="27"/>
      <c r="AR155" s="27"/>
      <c r="AS155" s="27"/>
      <c r="AT155" s="27"/>
      <c r="AU155" s="27"/>
    </row>
    <row r="156" spans="1:47" x14ac:dyDescent="0.25">
      <c r="A156" s="27"/>
      <c r="B156" s="27"/>
      <c r="C156" s="27"/>
      <c r="D156" s="27"/>
      <c r="E156" s="27"/>
      <c r="F156" s="27"/>
      <c r="G156" s="27"/>
      <c r="H156" s="27"/>
      <c r="I156" s="27"/>
      <c r="J156" s="27"/>
      <c r="K156" s="27"/>
      <c r="L156" s="35"/>
      <c r="M156" s="27"/>
      <c r="N156" s="27"/>
      <c r="O156" s="27"/>
      <c r="P156" s="27"/>
      <c r="Q156" s="27"/>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c r="AO156" s="27"/>
      <c r="AP156" s="27"/>
      <c r="AQ156" s="27"/>
      <c r="AR156" s="27"/>
      <c r="AS156" s="27"/>
      <c r="AT156" s="27"/>
      <c r="AU156" s="27"/>
    </row>
    <row r="157" spans="1:47" x14ac:dyDescent="0.25">
      <c r="A157" s="27"/>
      <c r="B157" s="27"/>
      <c r="C157" s="27"/>
      <c r="D157" s="27"/>
      <c r="E157" s="27"/>
      <c r="F157" s="27"/>
      <c r="G157" s="27"/>
      <c r="H157" s="27"/>
      <c r="I157" s="27"/>
      <c r="J157" s="27"/>
      <c r="K157" s="27"/>
      <c r="L157" s="35"/>
      <c r="M157" s="27"/>
      <c r="N157" s="27"/>
      <c r="O157" s="27"/>
      <c r="P157" s="27"/>
      <c r="Q157" s="27"/>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c r="AO157" s="27"/>
      <c r="AP157" s="27"/>
      <c r="AQ157" s="27"/>
      <c r="AR157" s="27"/>
      <c r="AS157" s="27"/>
      <c r="AT157" s="27"/>
      <c r="AU157" s="27"/>
    </row>
    <row r="158" spans="1:47" x14ac:dyDescent="0.25">
      <c r="A158" s="27"/>
      <c r="B158" s="27"/>
      <c r="C158" s="27"/>
      <c r="D158" s="27"/>
      <c r="E158" s="27"/>
      <c r="F158" s="27"/>
      <c r="G158" s="27"/>
      <c r="H158" s="27"/>
      <c r="I158" s="27"/>
      <c r="J158" s="27"/>
      <c r="K158" s="27"/>
      <c r="L158" s="35"/>
      <c r="M158" s="27"/>
      <c r="N158" s="27"/>
      <c r="O158" s="27"/>
      <c r="P158" s="27"/>
      <c r="Q158" s="27"/>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c r="AO158" s="27"/>
      <c r="AP158" s="27"/>
      <c r="AQ158" s="27"/>
      <c r="AR158" s="27"/>
      <c r="AS158" s="27"/>
      <c r="AT158" s="27"/>
      <c r="AU158" s="27"/>
    </row>
    <row r="159" spans="1:47" x14ac:dyDescent="0.25">
      <c r="A159" s="27"/>
      <c r="B159" s="27"/>
      <c r="C159" s="27"/>
      <c r="D159" s="27"/>
      <c r="E159" s="27"/>
      <c r="F159" s="27"/>
      <c r="G159" s="27"/>
      <c r="H159" s="27"/>
      <c r="I159" s="27"/>
      <c r="J159" s="27"/>
      <c r="K159" s="27"/>
      <c r="L159" s="35"/>
      <c r="M159" s="27"/>
      <c r="N159" s="27"/>
      <c r="O159" s="27"/>
      <c r="P159" s="27"/>
      <c r="Q159" s="27"/>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c r="AO159" s="27"/>
      <c r="AP159" s="27"/>
      <c r="AQ159" s="27"/>
      <c r="AR159" s="27"/>
      <c r="AS159" s="27"/>
      <c r="AT159" s="27"/>
      <c r="AU159" s="27"/>
    </row>
    <row r="160" spans="1:47" x14ac:dyDescent="0.25">
      <c r="A160" s="27"/>
      <c r="B160" s="27"/>
      <c r="C160" s="27"/>
      <c r="D160" s="27"/>
      <c r="E160" s="27"/>
      <c r="F160" s="27"/>
      <c r="G160" s="27"/>
      <c r="H160" s="27"/>
      <c r="I160" s="27"/>
      <c r="J160" s="27"/>
      <c r="K160" s="27"/>
      <c r="L160" s="35"/>
      <c r="M160" s="27"/>
      <c r="N160" s="27"/>
      <c r="O160" s="27"/>
      <c r="P160" s="27"/>
      <c r="Q160" s="27"/>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c r="AO160" s="27"/>
      <c r="AP160" s="27"/>
      <c r="AQ160" s="27"/>
      <c r="AR160" s="27"/>
      <c r="AS160" s="27"/>
      <c r="AT160" s="27"/>
      <c r="AU160" s="27"/>
    </row>
    <row r="161" spans="1:47" x14ac:dyDescent="0.25">
      <c r="A161" s="27"/>
      <c r="B161" s="27"/>
      <c r="C161" s="27"/>
      <c r="D161" s="27"/>
      <c r="E161" s="27"/>
      <c r="F161" s="27"/>
      <c r="G161" s="27"/>
      <c r="H161" s="27"/>
      <c r="I161" s="27"/>
      <c r="J161" s="27"/>
      <c r="K161" s="27"/>
      <c r="L161" s="35"/>
      <c r="M161" s="27"/>
      <c r="N161" s="27"/>
      <c r="O161" s="27"/>
      <c r="P161" s="27"/>
      <c r="Q161" s="27"/>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c r="AO161" s="27"/>
      <c r="AP161" s="27"/>
      <c r="AQ161" s="27"/>
      <c r="AR161" s="27"/>
      <c r="AS161" s="27"/>
      <c r="AT161" s="27"/>
      <c r="AU161" s="27"/>
    </row>
    <row r="162" spans="1:47" x14ac:dyDescent="0.25">
      <c r="A162" s="27"/>
      <c r="B162" s="27"/>
      <c r="C162" s="27"/>
      <c r="D162" s="27"/>
      <c r="E162" s="27"/>
      <c r="F162" s="27"/>
      <c r="G162" s="27"/>
      <c r="H162" s="27"/>
      <c r="I162" s="27"/>
      <c r="J162" s="27"/>
      <c r="K162" s="27"/>
      <c r="L162" s="35"/>
      <c r="M162" s="27"/>
      <c r="N162" s="27"/>
      <c r="O162" s="27"/>
      <c r="P162" s="27"/>
      <c r="Q162" s="27"/>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c r="AO162" s="27"/>
      <c r="AP162" s="27"/>
      <c r="AQ162" s="27"/>
      <c r="AR162" s="27"/>
      <c r="AS162" s="27"/>
      <c r="AT162" s="27"/>
      <c r="AU162" s="27"/>
    </row>
    <row r="163" spans="1:47" x14ac:dyDescent="0.25">
      <c r="A163" s="27"/>
      <c r="B163" s="27"/>
      <c r="C163" s="27"/>
      <c r="D163" s="27"/>
      <c r="E163" s="27"/>
      <c r="F163" s="27"/>
      <c r="G163" s="27"/>
      <c r="H163" s="27"/>
      <c r="I163" s="27"/>
      <c r="J163" s="27"/>
      <c r="K163" s="27"/>
      <c r="L163" s="35"/>
      <c r="M163" s="27"/>
      <c r="N163" s="27"/>
      <c r="O163" s="27"/>
      <c r="P163" s="27"/>
      <c r="Q163" s="27"/>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c r="AO163" s="27"/>
      <c r="AP163" s="27"/>
      <c r="AQ163" s="27"/>
      <c r="AR163" s="27"/>
      <c r="AS163" s="27"/>
      <c r="AT163" s="27"/>
      <c r="AU163" s="27"/>
    </row>
    <row r="164" spans="1:47" x14ac:dyDescent="0.25">
      <c r="A164" s="27"/>
      <c r="B164" s="27"/>
      <c r="C164" s="27"/>
      <c r="D164" s="27"/>
      <c r="E164" s="27"/>
      <c r="F164" s="27"/>
      <c r="G164" s="27"/>
      <c r="H164" s="27"/>
      <c r="I164" s="27"/>
      <c r="J164" s="27"/>
      <c r="K164" s="27"/>
      <c r="L164" s="35"/>
      <c r="M164" s="27"/>
      <c r="N164" s="27"/>
      <c r="O164" s="27"/>
      <c r="P164" s="27"/>
      <c r="Q164" s="27"/>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c r="AO164" s="27"/>
      <c r="AP164" s="27"/>
      <c r="AQ164" s="27"/>
      <c r="AR164" s="27"/>
      <c r="AS164" s="27"/>
      <c r="AT164" s="27"/>
      <c r="AU164" s="27"/>
    </row>
    <row r="165" spans="1:47" x14ac:dyDescent="0.25">
      <c r="A165" s="27"/>
      <c r="B165" s="27"/>
      <c r="C165" s="27"/>
      <c r="D165" s="27"/>
      <c r="E165" s="27"/>
      <c r="F165" s="27"/>
      <c r="G165" s="27"/>
      <c r="H165" s="27"/>
      <c r="I165" s="27"/>
      <c r="J165" s="27"/>
      <c r="K165" s="27"/>
      <c r="L165" s="35"/>
      <c r="M165" s="27"/>
      <c r="N165" s="27"/>
      <c r="O165" s="27"/>
      <c r="P165" s="27"/>
      <c r="Q165" s="27"/>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c r="AO165" s="27"/>
      <c r="AP165" s="27"/>
      <c r="AQ165" s="27"/>
      <c r="AR165" s="27"/>
      <c r="AS165" s="27"/>
      <c r="AT165" s="27"/>
      <c r="AU165" s="27"/>
    </row>
    <row r="166" spans="1:47" x14ac:dyDescent="0.25">
      <c r="A166" s="27"/>
      <c r="B166" s="27"/>
      <c r="C166" s="27"/>
      <c r="D166" s="27"/>
      <c r="E166" s="27"/>
      <c r="F166" s="27"/>
      <c r="G166" s="27"/>
      <c r="H166" s="27"/>
      <c r="I166" s="27"/>
      <c r="J166" s="27"/>
      <c r="K166" s="27"/>
      <c r="L166" s="35"/>
      <c r="M166" s="27"/>
      <c r="N166" s="27"/>
      <c r="O166" s="27"/>
      <c r="P166" s="27"/>
      <c r="Q166" s="27"/>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c r="AO166" s="27"/>
      <c r="AP166" s="27"/>
      <c r="AQ166" s="27"/>
      <c r="AR166" s="27"/>
      <c r="AS166" s="27"/>
      <c r="AT166" s="27"/>
      <c r="AU166" s="27"/>
    </row>
    <row r="167" spans="1:47" x14ac:dyDescent="0.25">
      <c r="A167" s="27"/>
      <c r="B167" s="27"/>
      <c r="C167" s="27"/>
      <c r="D167" s="27"/>
      <c r="E167" s="27"/>
      <c r="F167" s="27"/>
      <c r="G167" s="27"/>
      <c r="H167" s="27"/>
      <c r="I167" s="27"/>
      <c r="J167" s="27"/>
      <c r="K167" s="27"/>
      <c r="L167" s="35"/>
      <c r="M167" s="27"/>
      <c r="N167" s="27"/>
      <c r="O167" s="27"/>
      <c r="P167" s="27"/>
      <c r="Q167" s="27"/>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c r="AO167" s="27"/>
      <c r="AP167" s="27"/>
      <c r="AQ167" s="27"/>
      <c r="AR167" s="27"/>
      <c r="AS167" s="27"/>
      <c r="AT167" s="27"/>
      <c r="AU167" s="27"/>
    </row>
    <row r="168" spans="1:47" x14ac:dyDescent="0.25">
      <c r="A168" s="27"/>
      <c r="B168" s="27"/>
      <c r="C168" s="27"/>
      <c r="D168" s="27"/>
      <c r="E168" s="27"/>
      <c r="F168" s="27"/>
      <c r="G168" s="27"/>
      <c r="H168" s="27"/>
      <c r="I168" s="27"/>
      <c r="J168" s="27"/>
      <c r="K168" s="27"/>
      <c r="L168" s="35"/>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c r="AS168" s="27"/>
      <c r="AT168" s="27"/>
      <c r="AU168" s="27"/>
    </row>
    <row r="169" spans="1:47" x14ac:dyDescent="0.25">
      <c r="A169" s="27"/>
      <c r="B169" s="27"/>
      <c r="C169" s="27"/>
      <c r="D169" s="27"/>
      <c r="E169" s="27"/>
      <c r="F169" s="27"/>
      <c r="G169" s="27"/>
      <c r="H169" s="27"/>
      <c r="I169" s="27"/>
      <c r="J169" s="27"/>
      <c r="K169" s="27"/>
      <c r="L169" s="35"/>
      <c r="M169" s="27"/>
      <c r="N169" s="27"/>
      <c r="O169" s="27"/>
      <c r="P169" s="27"/>
      <c r="Q169" s="27"/>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c r="AO169" s="27"/>
      <c r="AP169" s="27"/>
      <c r="AQ169" s="27"/>
      <c r="AR169" s="27"/>
      <c r="AS169" s="27"/>
      <c r="AT169" s="27"/>
      <c r="AU169" s="27"/>
    </row>
    <row r="170" spans="1:47" x14ac:dyDescent="0.25">
      <c r="A170" s="27"/>
      <c r="B170" s="27"/>
      <c r="C170" s="27"/>
      <c r="D170" s="27"/>
      <c r="E170" s="27"/>
      <c r="F170" s="27"/>
      <c r="G170" s="27"/>
      <c r="H170" s="27"/>
      <c r="I170" s="27"/>
      <c r="J170" s="27"/>
      <c r="K170" s="27"/>
      <c r="L170" s="35"/>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c r="AS170" s="27"/>
      <c r="AT170" s="27"/>
      <c r="AU170" s="27"/>
    </row>
    <row r="171" spans="1:47" x14ac:dyDescent="0.25">
      <c r="A171" s="27"/>
      <c r="B171" s="27"/>
      <c r="C171" s="27"/>
      <c r="D171" s="27"/>
      <c r="E171" s="27"/>
      <c r="F171" s="27"/>
      <c r="G171" s="27"/>
      <c r="H171" s="27"/>
      <c r="I171" s="27"/>
      <c r="J171" s="27"/>
      <c r="K171" s="27"/>
      <c r="L171" s="35"/>
      <c r="M171" s="27"/>
      <c r="N171" s="27"/>
      <c r="O171" s="27"/>
      <c r="P171" s="27"/>
      <c r="Q171" s="27"/>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c r="AO171" s="27"/>
      <c r="AP171" s="27"/>
      <c r="AQ171" s="27"/>
      <c r="AR171" s="27"/>
      <c r="AS171" s="27"/>
      <c r="AT171" s="27"/>
      <c r="AU171" s="27"/>
    </row>
    <row r="172" spans="1:47" x14ac:dyDescent="0.25">
      <c r="A172" s="27"/>
      <c r="B172" s="27"/>
      <c r="C172" s="27"/>
      <c r="D172" s="27"/>
      <c r="E172" s="27"/>
      <c r="F172" s="27"/>
      <c r="G172" s="27"/>
      <c r="H172" s="27"/>
      <c r="I172" s="27"/>
      <c r="J172" s="27"/>
      <c r="K172" s="27"/>
      <c r="L172" s="35"/>
      <c r="M172" s="27"/>
      <c r="N172" s="27"/>
      <c r="O172" s="27"/>
      <c r="P172" s="27"/>
      <c r="Q172" s="27"/>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c r="AO172" s="27"/>
      <c r="AP172" s="27"/>
      <c r="AQ172" s="27"/>
      <c r="AR172" s="27"/>
      <c r="AS172" s="27"/>
      <c r="AT172" s="27"/>
      <c r="AU172" s="27"/>
    </row>
    <row r="173" spans="1:47" x14ac:dyDescent="0.25">
      <c r="A173" s="27"/>
      <c r="B173" s="27"/>
      <c r="C173" s="27"/>
      <c r="D173" s="27"/>
      <c r="E173" s="27"/>
      <c r="F173" s="27"/>
      <c r="G173" s="27"/>
      <c r="H173" s="27"/>
      <c r="I173" s="27"/>
      <c r="J173" s="27"/>
      <c r="K173" s="27"/>
      <c r="L173" s="35"/>
      <c r="M173" s="27"/>
      <c r="N173" s="27"/>
      <c r="O173" s="27"/>
      <c r="P173" s="27"/>
      <c r="Q173" s="27"/>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c r="AO173" s="27"/>
      <c r="AP173" s="27"/>
      <c r="AQ173" s="27"/>
      <c r="AR173" s="27"/>
      <c r="AS173" s="27"/>
      <c r="AT173" s="27"/>
      <c r="AU173" s="27"/>
    </row>
    <row r="174" spans="1:47" x14ac:dyDescent="0.25">
      <c r="A174" s="27"/>
      <c r="B174" s="27"/>
      <c r="C174" s="27"/>
      <c r="D174" s="27"/>
      <c r="E174" s="27"/>
      <c r="F174" s="27"/>
      <c r="G174" s="27"/>
      <c r="H174" s="27"/>
      <c r="I174" s="27"/>
      <c r="J174" s="27"/>
      <c r="K174" s="27"/>
      <c r="L174" s="35"/>
      <c r="M174" s="27"/>
      <c r="N174" s="27"/>
      <c r="O174" s="27"/>
      <c r="P174" s="27"/>
      <c r="Q174" s="27"/>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c r="AO174" s="27"/>
      <c r="AP174" s="27"/>
      <c r="AQ174" s="27"/>
      <c r="AR174" s="27"/>
      <c r="AS174" s="27"/>
      <c r="AT174" s="27"/>
      <c r="AU174" s="27"/>
    </row>
    <row r="175" spans="1:47" x14ac:dyDescent="0.25">
      <c r="A175" s="27"/>
      <c r="B175" s="27"/>
      <c r="C175" s="27"/>
      <c r="D175" s="27"/>
      <c r="E175" s="27"/>
      <c r="F175" s="27"/>
      <c r="G175" s="27"/>
      <c r="H175" s="27"/>
      <c r="I175" s="27"/>
      <c r="J175" s="27"/>
      <c r="K175" s="27"/>
      <c r="L175" s="35"/>
      <c r="M175" s="27"/>
      <c r="N175" s="27"/>
      <c r="O175" s="27"/>
      <c r="P175" s="27"/>
      <c r="Q175" s="27"/>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c r="AO175" s="27"/>
      <c r="AP175" s="27"/>
      <c r="AQ175" s="27"/>
      <c r="AR175" s="27"/>
      <c r="AS175" s="27"/>
      <c r="AT175" s="27"/>
      <c r="AU175" s="27"/>
    </row>
    <row r="176" spans="1:47" x14ac:dyDescent="0.25">
      <c r="C176" s="27"/>
      <c r="D176" s="27"/>
      <c r="E176" s="27"/>
      <c r="F176" s="27"/>
      <c r="G176" s="27"/>
      <c r="H176" s="27"/>
    </row>
    <row r="177" spans="3:8" x14ac:dyDescent="0.25">
      <c r="C177" s="27"/>
      <c r="D177" s="27"/>
      <c r="E177" s="27"/>
      <c r="F177" s="27"/>
      <c r="G177" s="27"/>
      <c r="H177" s="27"/>
    </row>
    <row r="178" spans="3:8" x14ac:dyDescent="0.25">
      <c r="C178" s="27"/>
      <c r="D178" s="27"/>
      <c r="E178" s="27"/>
      <c r="F178" s="27"/>
      <c r="G178" s="27"/>
      <c r="H178" s="27"/>
    </row>
    <row r="179" spans="3:8" x14ac:dyDescent="0.25">
      <c r="C179" s="27"/>
      <c r="D179" s="27"/>
      <c r="E179" s="27"/>
      <c r="F179" s="27"/>
      <c r="G179" s="27"/>
      <c r="H179" s="27"/>
    </row>
    <row r="180" spans="3:8" x14ac:dyDescent="0.25">
      <c r="C180" s="27"/>
      <c r="D180" s="27"/>
      <c r="E180" s="27"/>
      <c r="F180" s="27"/>
      <c r="G180" s="27"/>
      <c r="H180" s="27"/>
    </row>
    <row r="181" spans="3:8" x14ac:dyDescent="0.25">
      <c r="C181" s="27"/>
      <c r="D181" s="27"/>
      <c r="E181" s="27"/>
      <c r="F181" s="27"/>
      <c r="G181" s="27"/>
      <c r="H181" s="27"/>
    </row>
    <row r="182" spans="3:8" x14ac:dyDescent="0.25">
      <c r="C182" s="27"/>
      <c r="D182" s="27"/>
      <c r="E182" s="27"/>
      <c r="F182" s="27"/>
      <c r="G182" s="27"/>
      <c r="H182" s="27"/>
    </row>
    <row r="183" spans="3:8" x14ac:dyDescent="0.25">
      <c r="C183" s="27"/>
      <c r="D183" s="27"/>
      <c r="E183" s="27"/>
      <c r="F183" s="27"/>
      <c r="G183" s="27"/>
      <c r="H183" s="27"/>
    </row>
  </sheetData>
  <mergeCells count="60">
    <mergeCell ref="D31:G31"/>
    <mergeCell ref="D56:G56"/>
    <mergeCell ref="D57:G57"/>
    <mergeCell ref="D58:G58"/>
    <mergeCell ref="D59:G59"/>
    <mergeCell ref="D46:G46"/>
    <mergeCell ref="D32:G32"/>
    <mergeCell ref="D33:G33"/>
    <mergeCell ref="D37:G37"/>
    <mergeCell ref="D38:G38"/>
    <mergeCell ref="D39:G39"/>
    <mergeCell ref="D40:G40"/>
    <mergeCell ref="D41:G41"/>
    <mergeCell ref="D42:G42"/>
    <mergeCell ref="D43:G43"/>
    <mergeCell ref="D44:G44"/>
    <mergeCell ref="D6:G6"/>
    <mergeCell ref="D1:G1"/>
    <mergeCell ref="D2:G2"/>
    <mergeCell ref="D3:G3"/>
    <mergeCell ref="D4:G4"/>
    <mergeCell ref="D5:G5"/>
    <mergeCell ref="D18:G18"/>
    <mergeCell ref="D7:G7"/>
    <mergeCell ref="D8:G8"/>
    <mergeCell ref="D9:G9"/>
    <mergeCell ref="D10:G10"/>
    <mergeCell ref="D11:G11"/>
    <mergeCell ref="D12:G12"/>
    <mergeCell ref="D13:G13"/>
    <mergeCell ref="D14:G14"/>
    <mergeCell ref="D15:G15"/>
    <mergeCell ref="D16:G16"/>
    <mergeCell ref="D17:G17"/>
    <mergeCell ref="D30:G30"/>
    <mergeCell ref="D19:G19"/>
    <mergeCell ref="J19:M19"/>
    <mergeCell ref="D20:G20"/>
    <mergeCell ref="D21:G21"/>
    <mergeCell ref="D22:G22"/>
    <mergeCell ref="D23:G23"/>
    <mergeCell ref="D24:G24"/>
    <mergeCell ref="D25:G25"/>
    <mergeCell ref="D26:G26"/>
    <mergeCell ref="D28:G28"/>
    <mergeCell ref="D29:G29"/>
    <mergeCell ref="D27:G27"/>
    <mergeCell ref="D45:G45"/>
    <mergeCell ref="D34:G34"/>
    <mergeCell ref="D35:G35"/>
    <mergeCell ref="D36:G36"/>
    <mergeCell ref="D53:G53"/>
    <mergeCell ref="D54:G54"/>
    <mergeCell ref="D55:G55"/>
    <mergeCell ref="D47:G47"/>
    <mergeCell ref="D48:G48"/>
    <mergeCell ref="D49:G49"/>
    <mergeCell ref="D50:G50"/>
    <mergeCell ref="D51:G51"/>
    <mergeCell ref="D52:G52"/>
  </mergeCells>
  <conditionalFormatting sqref="D26:H26">
    <cfRule type="expression" dxfId="14" priority="26">
      <formula>ISBLANK($D$26)</formula>
    </cfRule>
  </conditionalFormatting>
  <conditionalFormatting sqref="D30:H30">
    <cfRule type="expression" dxfId="13" priority="24">
      <formula>ISBLANK($D$30)</formula>
    </cfRule>
  </conditionalFormatting>
  <conditionalFormatting sqref="D32:H32">
    <cfRule type="expression" dxfId="12" priority="23">
      <formula>ISBLANK($D$32)</formula>
    </cfRule>
  </conditionalFormatting>
  <conditionalFormatting sqref="D4:H4">
    <cfRule type="expression" dxfId="11" priority="20">
      <formula>ISBLANK($D$4)</formula>
    </cfRule>
  </conditionalFormatting>
  <conditionalFormatting sqref="D1:H1">
    <cfRule type="expression" dxfId="10" priority="19">
      <formula>ISBLANK($D$1)</formula>
    </cfRule>
  </conditionalFormatting>
  <conditionalFormatting sqref="D2:H2">
    <cfRule type="expression" dxfId="9" priority="18">
      <formula>ISBLANK($D$2)</formula>
    </cfRule>
  </conditionalFormatting>
  <conditionalFormatting sqref="D5:H5">
    <cfRule type="expression" dxfId="8" priority="17">
      <formula>ISBLANK($D$5)</formula>
    </cfRule>
  </conditionalFormatting>
  <conditionalFormatting sqref="D19:H19">
    <cfRule type="expression" dxfId="7" priority="16">
      <formula>ISBLANK($D$19)</formula>
    </cfRule>
  </conditionalFormatting>
  <conditionalFormatting sqref="D20:H25">
    <cfRule type="expression" dxfId="6" priority="15">
      <formula>ISBLANK($D$19)</formula>
    </cfRule>
  </conditionalFormatting>
  <conditionalFormatting sqref="D28:H28">
    <cfRule type="expression" dxfId="5" priority="13">
      <formula>ISBLANK($D$28)</formula>
    </cfRule>
    <cfRule type="expression" dxfId="4" priority="14">
      <formula>ISBLANK($D$26)</formula>
    </cfRule>
  </conditionalFormatting>
  <conditionalFormatting sqref="D29:H29">
    <cfRule type="expression" dxfId="3" priority="12">
      <formula>ISBLANK($D$26)</formula>
    </cfRule>
  </conditionalFormatting>
  <conditionalFormatting sqref="G83:G89">
    <cfRule type="expression" priority="9">
      <formula>#REF!</formula>
    </cfRule>
  </conditionalFormatting>
  <conditionalFormatting sqref="D31:H31">
    <cfRule type="expression" dxfId="2" priority="8">
      <formula>ISBLANK($D$30)</formula>
    </cfRule>
  </conditionalFormatting>
  <conditionalFormatting sqref="H75 H77:H82">
    <cfRule type="expression" priority="7">
      <formula>#REF!</formula>
    </cfRule>
  </conditionalFormatting>
  <conditionalFormatting sqref="H72">
    <cfRule type="expression" priority="6">
      <formula>#REF!</formula>
    </cfRule>
  </conditionalFormatting>
  <conditionalFormatting sqref="H70:H71">
    <cfRule type="expression" priority="5">
      <formula>#REF!</formula>
    </cfRule>
  </conditionalFormatting>
  <conditionalFormatting sqref="H91:H95">
    <cfRule type="expression" priority="4">
      <formula>#REF!</formula>
    </cfRule>
  </conditionalFormatting>
  <conditionalFormatting sqref="H83:H89">
    <cfRule type="expression" priority="3">
      <formula>#REF!</formula>
    </cfRule>
  </conditionalFormatting>
  <conditionalFormatting sqref="D27:H27">
    <cfRule type="expression" dxfId="1" priority="1">
      <formula>ISBLANK($D$28)</formula>
    </cfRule>
    <cfRule type="expression" dxfId="0" priority="2">
      <formula>ISBLANK($D$26)</formula>
    </cfRule>
  </conditionalFormatting>
  <dataValidations count="45">
    <dataValidation type="list" allowBlank="1" showInputMessage="1" showErrorMessage="1" sqref="D49:H50 D42:H42 D33:H34 D37:H37">
      <formula1>"Yes, No"</formula1>
    </dataValidation>
    <dataValidation allowBlank="1" showInputMessage="1" showErrorMessage="1" promptTitle="**FORMAT **" prompt="EG:yyyyMMdd_x000a_" sqref="D27:H28"/>
    <dataValidation allowBlank="1" showInputMessage="1" showErrorMessage="1" promptTitle="**FORMAT **" prompt="EG: ABC_CDE_&lt;DATE&gt;.txt_x000a_" sqref="D29:H29"/>
    <dataValidation allowBlank="1" showInputMessage="1" showErrorMessage="1" promptTitle="**FORMAT **" prompt="EG: ABC_CDE_&lt;DATE&gt;.txt  _x000a_" sqref="D26:H26"/>
    <dataValidation type="textLength" allowBlank="1" showInputMessage="1" showErrorMessage="1" errorTitle="Please review" error="Input too long" promptTitle="**ATTENTION**" prompt="No Spaces allowed_x000a_single string input_x000a_EG. CALL_ICM_AGNT_DTL_x000a_MAX LENGTH: 30 CHARACTERS" sqref="D1:H1">
      <formula1>1</formula1>
      <formula2>30</formula2>
    </dataValidation>
    <dataValidation type="custom" errorStyle="warning" allowBlank="1" showInputMessage="1" showErrorMessage="1" errorTitle="NO SPACES" error="No spaces allowed" promptTitle="Data type 2" prompt="Single string input ONLY_x000a_EG. HDCWDOOP" sqref="D2:H2">
      <formula1>D1=SUBSTITUTE(D1," ","")</formula1>
    </dataValidation>
    <dataValidation allowBlank="1" showInputMessage="1" showErrorMessage="1" promptTitle="DATA TYPE 2" prompt="SINGLE CONTINUOUS STRING VALUE ONLY_x000a_EG. HDCWVOOP" sqref="D3:H3"/>
    <dataValidation type="list" allowBlank="1" showInputMessage="1" showErrorMessage="1" sqref="D7:H7">
      <formula1>"Internal, External"</formula1>
    </dataValidation>
    <dataValidation allowBlank="1" showInputMessage="1" showErrorMessage="1" prompt="Please put Staff number and Name here" sqref="D9:H9"/>
    <dataValidation type="list" allowBlank="1" showInputMessage="1" showErrorMessage="1" sqref="D6:H6">
      <formula1>"TEXTFILE, SEQUENCEFILE, RCFILE, AVRO, ORCFILE, PARQUET, CUSTOM INPUTFORMAT, CUSTOM OUTPUTFORMAT"</formula1>
    </dataValidation>
    <dataValidation type="custom" allowBlank="1" showInputMessage="1" showErrorMessage="1" errorTitle="MUST BE LOWERCASE" error="Values must be all lowercase values. Please review" promptTitle="**ATTENTION**" prompt="PATH MUST BE lowercase EG. /apps/hive/warehouse/hdcwd00p.db/call_icm_agnt_evnt_dtl   _x000a_" sqref="D4:H4">
      <formula1>EXACT(LOWER(D4),D4)</formula1>
    </dataValidation>
    <dataValidation type="textLength" allowBlank="1" showInputMessage="1" showErrorMessage="1" promptTitle="** ATTENTION **" prompt="MAX 254 CHARACTERS" sqref="D5:H5">
      <formula1>1</formula1>
      <formula2>254</formula2>
    </dataValidation>
    <dataValidation allowBlank="1" showInputMessage="1" showErrorMessage="1" promptTitle="FILE TYPE" prompt="Must be (dot) and extension_x000a_EG. .txt" sqref="D30:H30"/>
    <dataValidation allowBlank="1" showInputMessage="1" showErrorMessage="1" promptTitle="** ATTENTION **" prompt="File delimiter must be character or string" sqref="D32:H32"/>
    <dataValidation allowBlank="1" showInputMessage="1" showErrorMessage="1" prompt="_x000a_" sqref="J19:M19"/>
    <dataValidation allowBlank="1" showInputMessage="1" showErrorMessage="1" promptTitle="** DATA PATH **" prompt="EG: /data/CALL_ICM_AGNT_EVNT_DTL/DAILY/IN   _x000a_" sqref="D19:H25"/>
    <dataValidation type="list" allowBlank="1" showInputMessage="1" showErrorMessage="1" sqref="D18:H18">
      <formula1>"HOURLY, INTRADAY, DAILY, WEEKLY, MONTHLY, QUARTERLY, YEARLY, ADJUSTMENT"</formula1>
    </dataValidation>
    <dataValidation type="list" allowBlank="1" showInputMessage="1" showErrorMessage="1" sqref="D44:H44">
      <formula1>"Real Time, Batch"</formula1>
    </dataValidation>
    <dataValidation type="list" allowBlank="1" showInputMessage="1" showErrorMessage="1" sqref="D11:H11">
      <formula1>"Delta Extract, Incremental Extract, Full Refresh Daily, Nightly"</formula1>
    </dataValidation>
    <dataValidation type="list" allowBlank="1" showInputMessage="1" showErrorMessage="1" sqref="D55:H55">
      <formula1>"DAILY, WEEKLY, Monthly, Quarterly, Yearly"</formula1>
    </dataValidation>
    <dataValidation type="date" operator="greaterThan" allowBlank="1" showInputMessage="1" showErrorMessage="1" promptTitle="** ATTENTION **" prompt="DATE TIME FORMAT ONLY" sqref="H75 H70:H72 G83:G89 H77:H89 H91:H95">
      <formula1>25569</formula1>
    </dataValidation>
    <dataValidation type="textLength" allowBlank="1" showInputMessage="1" showErrorMessage="1" errorTitle="LIMIT EXCEEDED" error="Use less characters" promptTitle="** MAX CHARACTERS **" prompt="254" sqref="P70:P89 N70:N95">
      <formula1>0</formula1>
      <formula2>254</formula2>
    </dataValidation>
    <dataValidation type="list" allowBlank="1" showInputMessage="1" showErrorMessage="1" sqref="F95">
      <formula1>"SMALLINT, VARCHAR, CHAR, INT, BIGINT, BOOLEAN.DOUBLEPRECISION, STRING, BINARY, TIMESTAMP_AS_VARCHAR(30), DECIMAL, DECIMAL(precision_scale), DATE, DATE AS DATE"</formula1>
    </dataValidation>
    <dataValidation type="whole" allowBlank="1" showInputMessage="1" showErrorMessage="1" errorTitle="Invalid Character" error="Integer value only!" promptTitle="** Integer Only **" prompt="Some files start on different lines eg:  0,  8 etc" sqref="D35:H35">
      <formula1>0</formula1>
      <formula2>10000000000</formula2>
    </dataValidation>
    <dataValidation allowBlank="1" showInputMessage="1" showErrorMessage="1" promptTitle="** Example **" prompt="Specify Null value eg. NULL, N/A, &quot;&quot;, 0, !, /  " sqref="D36:H36"/>
    <dataValidation type="decimal" operator="greaterThan" allowBlank="1" showInputMessage="1" showErrorMessage="1" sqref="D70:D95">
      <formula1>0</formula1>
    </dataValidation>
    <dataValidation type="whole" operator="greaterThan" allowBlank="1" showInputMessage="1" showErrorMessage="1" errorTitle="Wrong data type" error="Try using an integer_x000a_EG. 14" promptTitle="**ATTENTION **" prompt="INTEGER VALUE" sqref="R70:R95 S83:S89">
      <formula1>0</formula1>
    </dataValidation>
    <dataValidation type="textLength" allowBlank="1" showInputMessage="1" showErrorMessage="1" errorTitle="** MAX EXCEEDED **" error="254 MAX CHARACTERS EXCEEDED._x000a_" promptTitle="** MAX LENGTH = 254 **" prompt="254 character maximum" sqref="U70:U95">
      <formula1>0</formula1>
      <formula2>254</formula2>
    </dataValidation>
    <dataValidation type="list" allowBlank="1" showInputMessage="1" showErrorMessage="1" sqref="F70:F76 F78:F94">
      <formula1>"SMALLINT, VARCHAR, CHAR, INT, BIGINT, BOOLEAN. FLOAT, DOUBLE, DOUBLEPRECISION, STRING, BINARY, TIMESTAMP, DECIMAL, DECIMAL(precision_scale), DATE, DATE AS DATE"</formula1>
    </dataValidation>
    <dataValidation type="list" allowBlank="1" showInputMessage="1" showErrorMessage="1" promptTitle="** Attention **" prompt="SeePCI_PII tab for Definition/Example" sqref="AC70:AC95">
      <formula1>"Yes, No"</formula1>
    </dataValidation>
    <dataValidation type="list" allowBlank="1" showInputMessage="1" showErrorMessage="1" promptTitle="** Attention **" prompt="See PCI_PII tab for definition/example" sqref="AB70:AB95">
      <formula1>"Yes, No"</formula1>
    </dataValidation>
    <dataValidation type="list" allowBlank="1" showInputMessage="1" showErrorMessage="1" promptTitle="** ATTENTION**" prompt="If HIGHLY CONFIDENTIAL selected, Field must be completed." sqref="AD70:AD95">
      <formula1>"Highly Restricted, Highly Confidential, Confidential, Public Domain"</formula1>
    </dataValidation>
    <dataValidation type="list" allowBlank="1" showInputMessage="1" showErrorMessage="1" promptTitle="To be completed" prompt="If Highly Confidential selected previously_x000a_" sqref="AE70:AE95">
      <formula1>"Party-Customer, Party-Employee, Party-Third Party, Agreement/Account-Application, Agreement/Account-Account, Agreement/Account-Contract/Transaction, Transaction-General Ledger"</formula1>
    </dataValidation>
    <dataValidation type="list" allowBlank="1" showInputMessage="1" showErrorMessage="1" promptTitle="** Attention **" prompt="If this field is free text we may want to remove non-printable characters_x000a_" sqref="O70:O95">
      <formula1>"Yes, No"</formula1>
    </dataValidation>
    <dataValidation type="list" allowBlank="1" showInputMessage="1" showErrorMessage="1" promptTitle="What is the Line terminated by" sqref="D31:H31">
      <formula1>"\r,\r\n,\n"</formula1>
    </dataValidation>
    <dataValidation type="list" showInputMessage="1" showErrorMessage="1" sqref="D58:H58">
      <formula1>"None"</formula1>
    </dataValidation>
    <dataValidation showInputMessage="1" showErrorMessage="1" promptTitle="Please Delete as appropriate" prompt="Leave None if required and delete other._x000a_OR_x000a_Enter email/multiple email addresses of the person to be contacted if the designated space. Delete None" sqref="D59:H59"/>
    <dataValidation type="whole" showInputMessage="1" showErrorMessage="1" promptTitle="Integer" prompt="Please specify the tolerance in minutes to the runtime of the job_x000a_i.e. 5 will give you 5 minutes tolerance either side of the runtime" sqref="D57:H57">
      <formula1>0</formula1>
      <formula2>100000000000000000</formula2>
    </dataValidation>
    <dataValidation type="list" allowBlank="1" showInputMessage="1" showErrorMessage="1" sqref="D56:H56">
      <formula1>"Sched,Cron,TWS,Other"</formula1>
    </dataValidation>
    <dataValidation type="list" allowBlank="1" showInputMessage="1" showErrorMessage="1" promptTitle="Multiple Selections Supported" prompt="Select all the values that are applicable_x000a_" sqref="D65">
      <formula1>"N/A, Every Week Day, Monday, Tuesday,Wednesday,Thursday,Friday,Saturday,Sunday"</formula1>
    </dataValidation>
    <dataValidation type="list" allowBlank="1" showInputMessage="1" showErrorMessage="1" sqref="D63">
      <formula1>"N/A,Every Hour,0,1,2,3,4,5,6,7,8,9,10,11,12,13,14,15,16,17,18,19,20,21,22,23"</formula1>
    </dataValidation>
    <dataValidation type="list" allowBlank="1" showInputMessage="1" showErrorMessage="1" sqref="D62">
      <formula1>"N/A,Every Minute,0,1,2,3,4,5,6,7,8,9,10,11,12,13,14,15,16,17,18,19,20,21,22,23,24,25,26,27,28,29,30,31,32,33,34,35,36,37,38,39,40,41,42,43,44,45,46,47,48,49,50,51,52,53,54,55,56,57,58,59"</formula1>
    </dataValidation>
    <dataValidation type="list" allowBlank="1" showInputMessage="1" showErrorMessage="1" sqref="D66">
      <formula1>"N/A,Every Month, January,February,March,April,May,June,July,August,September,October,November,December"</formula1>
    </dataValidation>
    <dataValidation type="list" allowBlank="1" showInputMessage="1" showErrorMessage="1" sqref="D64">
      <formula1>"N/A,Every Day,1,2,3,4,5,6,7,8,9,10,11,12,13,14,15,16,17,18,19,20,21,22,23,24,25,26,27,28,29,30,31"</formula1>
    </dataValidation>
    <dataValidation type="list" allowBlank="1" showInputMessage="1" sqref="F77">
      <formula1>"SMALLINT, VARCHAR, CHAR, INT, BIGINT, BOOLEAN. FLOAT, DOUBLE, DOUBLEPRECISION, STRING, BINARY, TIMESTAMP, DECIMAL, DECIMAL(precision_scale), DATE, DATE AS DATE"</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59"/>
  <sheetViews>
    <sheetView workbookViewId="0"/>
  </sheetViews>
  <sheetFormatPr defaultRowHeight="15" x14ac:dyDescent="0.25"/>
  <cols>
    <col min="1" max="1" width="61.140625" style="86" customWidth="1"/>
    <col min="2" max="2" width="3.5703125" style="94" customWidth="1"/>
    <col min="3" max="3" width="55" style="86" customWidth="1"/>
    <col min="4" max="4" width="3.5703125" style="94" customWidth="1"/>
    <col min="5" max="5" width="75.85546875" style="86" customWidth="1"/>
    <col min="6" max="16384" width="9.140625" style="86"/>
  </cols>
  <sheetData>
    <row r="1" spans="1:5" ht="20.25" thickBot="1" x14ac:dyDescent="0.35">
      <c r="A1" s="83"/>
      <c r="B1" s="84"/>
      <c r="C1" s="85"/>
      <c r="D1" s="84"/>
      <c r="E1" s="83"/>
    </row>
    <row r="2" spans="1:5" ht="21" thickTop="1" thickBot="1" x14ac:dyDescent="0.35">
      <c r="A2" s="83" t="s">
        <v>259</v>
      </c>
      <c r="B2" s="84"/>
      <c r="C2" s="87" t="s">
        <v>260</v>
      </c>
      <c r="D2" s="84"/>
      <c r="E2" s="88" t="s">
        <v>261</v>
      </c>
    </row>
    <row r="3" spans="1:5" ht="15" customHeight="1" thickTop="1" x14ac:dyDescent="0.25">
      <c r="A3" s="133" t="s">
        <v>262</v>
      </c>
      <c r="B3" s="89"/>
      <c r="C3" s="86" t="s">
        <v>263</v>
      </c>
      <c r="D3" s="89"/>
      <c r="E3" s="86" t="s">
        <v>264</v>
      </c>
    </row>
    <row r="4" spans="1:5" x14ac:dyDescent="0.25">
      <c r="A4" s="134"/>
      <c r="B4" s="90"/>
      <c r="C4" s="91" t="s">
        <v>23</v>
      </c>
      <c r="D4" s="90"/>
      <c r="E4" s="86" t="s">
        <v>265</v>
      </c>
    </row>
    <row r="5" spans="1:5" x14ac:dyDescent="0.25">
      <c r="A5" s="134"/>
      <c r="B5" s="90"/>
      <c r="C5" s="91" t="s">
        <v>266</v>
      </c>
      <c r="D5" s="90"/>
      <c r="E5" s="86" t="s">
        <v>267</v>
      </c>
    </row>
    <row r="6" spans="1:5" x14ac:dyDescent="0.25">
      <c r="A6" s="134"/>
      <c r="B6" s="90"/>
      <c r="C6" s="91" t="s">
        <v>268</v>
      </c>
      <c r="D6" s="90"/>
      <c r="E6" s="86" t="s">
        <v>269</v>
      </c>
    </row>
    <row r="7" spans="1:5" x14ac:dyDescent="0.25">
      <c r="A7" s="134"/>
      <c r="B7" s="90"/>
      <c r="C7" s="91" t="s">
        <v>270</v>
      </c>
      <c r="D7" s="90"/>
      <c r="E7" s="86" t="s">
        <v>271</v>
      </c>
    </row>
    <row r="8" spans="1:5" x14ac:dyDescent="0.25">
      <c r="A8" s="135"/>
      <c r="B8" s="92"/>
      <c r="C8" s="91" t="s">
        <v>272</v>
      </c>
      <c r="D8" s="92"/>
      <c r="E8" s="86" t="s">
        <v>273</v>
      </c>
    </row>
    <row r="9" spans="1:5" x14ac:dyDescent="0.25">
      <c r="A9" s="135"/>
      <c r="B9" s="92"/>
      <c r="C9" s="93" t="s">
        <v>274</v>
      </c>
      <c r="D9" s="92"/>
      <c r="E9" s="86" t="s">
        <v>275</v>
      </c>
    </row>
    <row r="10" spans="1:5" x14ac:dyDescent="0.25">
      <c r="C10" s="91" t="s">
        <v>276</v>
      </c>
      <c r="E10" s="86" t="s">
        <v>277</v>
      </c>
    </row>
    <row r="11" spans="1:5" x14ac:dyDescent="0.25">
      <c r="C11" s="95" t="s">
        <v>278</v>
      </c>
    </row>
    <row r="12" spans="1:5" x14ac:dyDescent="0.25">
      <c r="C12" s="95" t="s">
        <v>279</v>
      </c>
      <c r="E12" s="96" t="s">
        <v>280</v>
      </c>
    </row>
    <row r="13" spans="1:5" x14ac:dyDescent="0.25">
      <c r="C13" s="86" t="s">
        <v>281</v>
      </c>
    </row>
    <row r="14" spans="1:5" x14ac:dyDescent="0.25">
      <c r="C14" s="86" t="s">
        <v>282</v>
      </c>
    </row>
    <row r="15" spans="1:5" x14ac:dyDescent="0.25">
      <c r="C15" s="86" t="s">
        <v>283</v>
      </c>
    </row>
    <row r="16" spans="1:5" x14ac:dyDescent="0.25">
      <c r="C16" s="86" t="s">
        <v>284</v>
      </c>
    </row>
    <row r="17" spans="3:3" x14ac:dyDescent="0.25">
      <c r="C17" s="86" t="s">
        <v>285</v>
      </c>
    </row>
    <row r="18" spans="3:3" x14ac:dyDescent="0.25">
      <c r="C18" s="86" t="s">
        <v>286</v>
      </c>
    </row>
    <row r="19" spans="3:3" x14ac:dyDescent="0.25">
      <c r="C19" s="86" t="s">
        <v>287</v>
      </c>
    </row>
    <row r="20" spans="3:3" x14ac:dyDescent="0.25">
      <c r="C20" s="86" t="s">
        <v>288</v>
      </c>
    </row>
    <row r="21" spans="3:3" x14ac:dyDescent="0.25">
      <c r="C21" s="86" t="s">
        <v>289</v>
      </c>
    </row>
    <row r="22" spans="3:3" x14ac:dyDescent="0.25">
      <c r="C22" s="86" t="s">
        <v>290</v>
      </c>
    </row>
    <row r="23" spans="3:3" x14ac:dyDescent="0.25">
      <c r="C23" s="86" t="s">
        <v>291</v>
      </c>
    </row>
    <row r="24" spans="3:3" x14ac:dyDescent="0.25">
      <c r="C24" s="95" t="s">
        <v>292</v>
      </c>
    </row>
    <row r="25" spans="3:3" x14ac:dyDescent="0.25">
      <c r="C25" s="95" t="s">
        <v>293</v>
      </c>
    </row>
    <row r="26" spans="3:3" x14ac:dyDescent="0.25">
      <c r="C26" s="86" t="s">
        <v>294</v>
      </c>
    </row>
    <row r="27" spans="3:3" x14ac:dyDescent="0.25">
      <c r="C27" s="95" t="s">
        <v>295</v>
      </c>
    </row>
    <row r="28" spans="3:3" x14ac:dyDescent="0.25">
      <c r="C28" s="95" t="s">
        <v>296</v>
      </c>
    </row>
    <row r="29" spans="3:3" x14ac:dyDescent="0.25">
      <c r="C29" s="95" t="s">
        <v>297</v>
      </c>
    </row>
    <row r="30" spans="3:3" x14ac:dyDescent="0.25">
      <c r="C30" s="95" t="s">
        <v>298</v>
      </c>
    </row>
    <row r="31" spans="3:3" x14ac:dyDescent="0.25">
      <c r="C31" s="86" t="s">
        <v>299</v>
      </c>
    </row>
    <row r="32" spans="3:3" x14ac:dyDescent="0.25">
      <c r="C32" s="95" t="s">
        <v>300</v>
      </c>
    </row>
    <row r="33" spans="3:3" x14ac:dyDescent="0.25">
      <c r="C33" s="95" t="s">
        <v>301</v>
      </c>
    </row>
    <row r="34" spans="3:3" x14ac:dyDescent="0.25">
      <c r="C34" s="95" t="s">
        <v>302</v>
      </c>
    </row>
    <row r="35" spans="3:3" x14ac:dyDescent="0.25">
      <c r="C35" s="95" t="s">
        <v>268</v>
      </c>
    </row>
    <row r="36" spans="3:3" x14ac:dyDescent="0.25">
      <c r="C36" s="95" t="s">
        <v>303</v>
      </c>
    </row>
    <row r="37" spans="3:3" ht="30" x14ac:dyDescent="0.25">
      <c r="C37" s="97" t="s">
        <v>304</v>
      </c>
    </row>
    <row r="38" spans="3:3" x14ac:dyDescent="0.25">
      <c r="C38" s="98" t="s">
        <v>305</v>
      </c>
    </row>
    <row r="39" spans="3:3" x14ac:dyDescent="0.25">
      <c r="C39" s="99" t="s">
        <v>306</v>
      </c>
    </row>
    <row r="40" spans="3:3" x14ac:dyDescent="0.25">
      <c r="C40" s="99" t="s">
        <v>307</v>
      </c>
    </row>
    <row r="41" spans="3:3" x14ac:dyDescent="0.25">
      <c r="C41" s="99" t="s">
        <v>308</v>
      </c>
    </row>
    <row r="42" spans="3:3" x14ac:dyDescent="0.25">
      <c r="C42" s="95" t="s">
        <v>309</v>
      </c>
    </row>
    <row r="43" spans="3:3" x14ac:dyDescent="0.25">
      <c r="C43" s="95" t="s">
        <v>310</v>
      </c>
    </row>
    <row r="44" spans="3:3" x14ac:dyDescent="0.25">
      <c r="C44" s="95" t="s">
        <v>311</v>
      </c>
    </row>
    <row r="45" spans="3:3" x14ac:dyDescent="0.25">
      <c r="C45" s="95" t="s">
        <v>312</v>
      </c>
    </row>
    <row r="46" spans="3:3" x14ac:dyDescent="0.25">
      <c r="C46" s="95" t="s">
        <v>313</v>
      </c>
    </row>
    <row r="47" spans="3:3" x14ac:dyDescent="0.25">
      <c r="C47" s="95" t="s">
        <v>314</v>
      </c>
    </row>
    <row r="48" spans="3:3" x14ac:dyDescent="0.25">
      <c r="C48" s="95" t="s">
        <v>315</v>
      </c>
    </row>
    <row r="49" spans="3:3" ht="30" x14ac:dyDescent="0.25">
      <c r="C49" s="100" t="s">
        <v>316</v>
      </c>
    </row>
    <row r="50" spans="3:3" x14ac:dyDescent="0.25">
      <c r="C50" s="100" t="s">
        <v>317</v>
      </c>
    </row>
    <row r="51" spans="3:3" ht="30" x14ac:dyDescent="0.25">
      <c r="C51" s="100" t="s">
        <v>318</v>
      </c>
    </row>
    <row r="52" spans="3:3" x14ac:dyDescent="0.25">
      <c r="C52" s="100" t="s">
        <v>319</v>
      </c>
    </row>
    <row r="53" spans="3:3" x14ac:dyDescent="0.25">
      <c r="C53" s="100" t="s">
        <v>320</v>
      </c>
    </row>
    <row r="54" spans="3:3" x14ac:dyDescent="0.25">
      <c r="C54" s="100" t="s">
        <v>321</v>
      </c>
    </row>
    <row r="55" spans="3:3" ht="30" x14ac:dyDescent="0.25">
      <c r="C55" s="100" t="s">
        <v>322</v>
      </c>
    </row>
    <row r="56" spans="3:3" ht="30" x14ac:dyDescent="0.25">
      <c r="C56" s="100" t="s">
        <v>323</v>
      </c>
    </row>
    <row r="58" spans="3:3" x14ac:dyDescent="0.25">
      <c r="C58" s="101" t="s">
        <v>324</v>
      </c>
    </row>
    <row r="59" spans="3:3" x14ac:dyDescent="0.25">
      <c r="C59" s="102" t="s">
        <v>325</v>
      </c>
    </row>
  </sheetData>
  <sheetProtection algorithmName="SHA-512" hashValue="WjCoSuqG/zjxckE44NWsz479xqsJ5re4cr1lehsgUQjEBgPhERgT72/n3UFsyKRZfqYeJsleJsrtDdVmM0Nt2Q==" saltValue="6SleB8/LCvgCbRe+x9sHTQ==" spinCount="100000" sheet="1" objects="1" scenarios="1"/>
  <mergeCells count="1">
    <mergeCell ref="A3:A9"/>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31AE16F8BE78C43B5B25E0752554193" ma:contentTypeVersion="0" ma:contentTypeDescription="Create a new document." ma:contentTypeScope="" ma:versionID="1c7b09e4b9c1c26e6786e1a17613e84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6B4789-1E54-40B6-B9E1-4F0989C61557}">
  <ds:schemaRefs>
    <ds:schemaRef ds:uri="http://schemas.microsoft.com/office/2006/metadata/properties"/>
    <ds:schemaRef ds:uri="http://www.w3.org/XML/1998/namespace"/>
    <ds:schemaRef ds:uri="http://purl.org/dc/elements/1.1/"/>
    <ds:schemaRef ds:uri="http://purl.org/dc/terms/"/>
    <ds:schemaRef ds:uri="http://purl.org/dc/dcmitype/"/>
    <ds:schemaRef ds:uri="http://schemas.microsoft.com/office/2006/documentManagement/type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732661EF-55F4-4676-AC95-B2ABD00F28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1115BED2-1D04-43BE-9F4B-7ADBD71356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Version Control</vt:lpstr>
      <vt:lpstr>Approvals</vt:lpstr>
      <vt:lpstr>Overview</vt:lpstr>
      <vt:lpstr>Table Vol &amp; Delta Logic Summary</vt:lpstr>
      <vt:lpstr>HR_SAP_EPI_USE_PA0006</vt:lpstr>
      <vt:lpstr>PCI_PII_EXAMPLE</vt:lpstr>
      <vt:lpstr>HCONF</vt:lpstr>
      <vt:lpstr>HighlyConfidential</vt:lpstr>
      <vt:lpstr>PIIDATA</vt:lpstr>
    </vt:vector>
  </TitlesOfParts>
  <Company>AIB</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AIB SDP Requirements Catalogue</dc:title>
  <dc:creator>Keane Ltd</dc:creator>
  <cp:lastModifiedBy>Eoghan Keegan</cp:lastModifiedBy>
  <cp:lastPrinted>2014-03-14T18:20:23Z</cp:lastPrinted>
  <dcterms:created xsi:type="dcterms:W3CDTF">1999-03-09T10:50:43Z</dcterms:created>
  <dcterms:modified xsi:type="dcterms:W3CDTF">2018-02-20T09:23:47Z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0x010100D31AE16F8BE78C43B5B25E0752554193</vt:lpwstr>
  </property>
</Properties>
</file>